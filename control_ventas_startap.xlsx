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Leads" sheetId="2" state="visible" r:id="rId4"/>
    <sheet name="Gasto diario" sheetId="3" state="visible" r:id="rId5"/>
    <sheet name="Corre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<sst xmlns="http://schemas.openxmlformats.org/spreadsheetml/2006/main" count="100" uniqueCount="82">
  <si>
    <t xml:space="preserve">Resumen por público</t>
  </si>
  <si>
    <t xml:space="preserve">Se calcula solo. No escribas nada en esta hoja.</t>
  </si>
  <si>
    <t xml:space="preserve">Público</t>
  </si>
  <si>
    <t xml:space="preserve">Leads</t>
  </si>
  <si>
    <t xml:space="preserve">Ventas</t>
  </si>
  <si>
    <t xml:space="preserve">Gasto US$</t>
  </si>
  <si>
    <t xml:space="preserve">Ingreso US$</t>
  </si>
  <si>
    <t xml:space="preserve">Costo x lead</t>
  </si>
  <si>
    <t xml:space="preserve">Costo x venta</t>
  </si>
  <si>
    <t xml:space="preserve">Tasa de cierre</t>
  </si>
  <si>
    <t xml:space="preserve">Retorno</t>
  </si>
  <si>
    <t xml:space="preserve">A · Admins</t>
  </si>
  <si>
    <t xml:space="preserve">B · Gastronomía</t>
  </si>
  <si>
    <t xml:space="preserve">C · Belleza</t>
  </si>
  <si>
    <t xml:space="preserve">D · Amplio</t>
  </si>
  <si>
    <t xml:space="preserve">TOTAL</t>
  </si>
  <si>
    <t xml:space="preserve">Resumen por creativo</t>
  </si>
  <si>
    <t xml:space="preserve">Creativo</t>
  </si>
  <si>
    <t xml:space="preserve">1 Demo</t>
  </si>
  <si>
    <t xml:space="preserve">2 Problema</t>
  </si>
  <si>
    <t xml:space="preserve">3 Objeción</t>
  </si>
  <si>
    <t xml:space="preserve">4 Caso</t>
  </si>
  <si>
    <t xml:space="preserve">5 Pena</t>
  </si>
  <si>
    <t xml:space="preserve">Cómo leerlo</t>
  </si>
  <si>
    <t xml:space="preserve">· Costo x venta es la métrica que decide, no el costo por lead. Un público barato que no cierra es caro.</t>
  </si>
  <si>
    <t xml:space="preserve">· Retorno = ingreso dividido entre gasto. Debajo de 1.00x estás perdiendo plata en ese público.</t>
  </si>
  <si>
    <t xml:space="preserve">· No saques conclusiones antes de 10 días ni con menos de 15 leads por público.</t>
  </si>
  <si>
    <t xml:space="preserve">· El ingreso no descuenta tu costo de producto ni el envío. Es venta bruta.</t>
  </si>
  <si>
    <t xml:space="preserve">Registro de leads · starTAP Panamá</t>
  </si>
  <si>
    <t xml:space="preserve">Llena SOLO las celdas con fondo amarillo. Las columnas grises se calculan solas.</t>
  </si>
  <si>
    <t xml:space="preserve">El código lo trae el cliente en su primer mensaje de WhatsApp. Sale del mensaje prellenado del anuncio.</t>
  </si>
  <si>
    <t xml:space="preserve">Fecha</t>
  </si>
  <si>
    <t xml:space="preserve">Nombre</t>
  </si>
  <si>
    <t xml:space="preserve">Negocio</t>
  </si>
  <si>
    <t xml:space="preserve">WhatsApp</t>
  </si>
  <si>
    <t xml:space="preserve">Código</t>
  </si>
  <si>
    <t xml:space="preserve">¿Cerró?</t>
  </si>
  <si>
    <t xml:space="preserve">Monto US$</t>
  </si>
  <si>
    <t xml:space="preserve">Producto</t>
  </si>
  <si>
    <t xml:space="preserve">Notas</t>
  </si>
  <si>
    <t xml:space="preserve">2026-09-20</t>
  </si>
  <si>
    <t xml:space="preserve">Onan Torres</t>
  </si>
  <si>
    <t xml:space="preserve">Barbería El Corte</t>
  </si>
  <si>
    <t xml:space="preserve">60001234</t>
  </si>
  <si>
    <t xml:space="preserve">A1</t>
  </si>
  <si>
    <t xml:space="preserve">Sí</t>
  </si>
  <si>
    <t xml:space="preserve">Placa de mostrador</t>
  </si>
  <si>
    <t xml:space="preserve">Pidió factura</t>
  </si>
  <si>
    <t xml:space="preserve">&lt;- fila de ejemplo, bórrala cuando empieces</t>
  </si>
  <si>
    <t xml:space="preserve">Gasto de pauta por día y público</t>
  </si>
  <si>
    <t xml:space="preserve">Cópialo del Administrador de anuncios de Meta. Un renglón por día.</t>
  </si>
  <si>
    <t xml:space="preserve">Total día</t>
  </si>
  <si>
    <t xml:space="preserve">Correos recolectados · prospección en frío</t>
  </si>
  <si>
    <t xml:space="preserve">Llena solo las celdas amarillas. La columna "Válido" se calcula sola.</t>
  </si>
  <si>
    <t xml:space="preserve">ANTES DE ENVIAR: el dominio startap.com.pa no tiene SPF, DKIM ni DMARC. Sin eso los correos caen en spam.</t>
  </si>
  <si>
    <t xml:space="preserve">Rubro</t>
  </si>
  <si>
    <t xml:space="preserve">Zona</t>
  </si>
  <si>
    <t xml:space="preserve">Correo</t>
  </si>
  <si>
    <t xml:space="preserve">Válido</t>
  </si>
  <si>
    <t xml:space="preserve">Fuente</t>
  </si>
  <si>
    <t xml:space="preserve">Reseñas</t>
  </si>
  <si>
    <t xml:space="preserve">Estrellas</t>
  </si>
  <si>
    <t xml:space="preserve">Estado</t>
  </si>
  <si>
    <t xml:space="preserve">Fecha envío</t>
  </si>
  <si>
    <t xml:space="preserve">Respondió</t>
  </si>
  <si>
    <t xml:space="preserve">Resumen</t>
  </si>
  <si>
    <t xml:space="preserve">Barberías</t>
  </si>
  <si>
    <t xml:space="preserve">Arraiján</t>
  </si>
  <si>
    <t xml:space="preserve">contacto@elcorte.com</t>
  </si>
  <si>
    <t xml:space="preserve">Ficha de Google</t>
  </si>
  <si>
    <t xml:space="preserve">pendiente</t>
  </si>
  <si>
    <t xml:space="preserve">Dueño: Luis</t>
  </si>
  <si>
    <t xml:space="preserve">&lt;- ejemplo, bórralo</t>
  </si>
  <si>
    <t xml:space="preserve">Correos recolectados</t>
  </si>
  <si>
    <t xml:space="preserve">Con formato válido</t>
  </si>
  <si>
    <t xml:space="preserve">Enviados</t>
  </si>
  <si>
    <t xml:space="preserve">Rebotaron</t>
  </si>
  <si>
    <t xml:space="preserve">Respondieron</t>
  </si>
  <si>
    <t xml:space="preserve">Vendidos</t>
  </si>
  <si>
    <t xml:space="preserve">Tasa de respuesta</t>
  </si>
  <si>
    <t xml:space="preserve">Si "Rebotaron" pasa de 3%, para y revisa</t>
  </si>
  <si>
    <t xml:space="preserve">la autenticación del dominio.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</si>
</sst>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;\(0.0%\);\-"/>
    <numFmt numFmtId="167" formatCode="0.00\x"/>
    <numFmt numFmtId="168" formatCode="yyyy\-mm\-dd"/>
    <numFmt numFmtId="169" formatCode="General"/>
    <numFmt numFmtId="170" formatCode="0.0"/>
    <numFmt numFmtId="171" formatCode="0.0%;\(0.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9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1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5" t="n">
        <f aca="false">COUNTIFS(Leads!$F$7:$F$305,$A5)</f>
        <v>0</v>
      </c>
      <c r="C5" s="5" t="n">
        <f aca="false">COUNTIFS(Leads!$F$7:$F$305,$A5,Leads!$H$7:$H$305,"Sí")</f>
        <v>0</v>
      </c>
      <c r="D5" s="6" t="n">
        <f aca="false">SUM('Gasto diario'!$B$5:$B$95)</f>
        <v>0</v>
      </c>
      <c r="E5" s="6" t="n">
        <f aca="false">SUMIFS(Leads!$I$7:$I$305,Leads!$F$7:$F$305,$A5,Leads!$H$7:$H$305,"Sí")</f>
        <v>0</v>
      </c>
      <c r="F5" s="6" t="str">
        <f aca="false">IF($B5=0,"-",$D5/$B5)</f>
        <v>-</v>
      </c>
      <c r="G5" s="6" t="str">
        <f aca="false">IF($C5=0,"-",$D5/$C5)</f>
        <v>-</v>
      </c>
      <c r="H5" s="7" t="str">
        <f aca="false">IF($B5=0,"-",$C5/$B5)</f>
        <v>-</v>
      </c>
      <c r="I5" s="8" t="str">
        <f aca="false">IF($D5=0,"-",$E5/$D5)</f>
        <v>-</v>
      </c>
    </row>
    <row r="6" customFormat="false" ht="15" hidden="false" customHeight="true" outlineLevel="0" collapsed="false">
      <c r="A6" s="5" t="s">
        <v>12</v>
      </c>
      <c r="B6" s="5" t="n">
        <f aca="false">COUNTIFS(Leads!$F$7:$F$305,$A6)</f>
        <v>0</v>
      </c>
      <c r="C6" s="5" t="n">
        <f aca="false">COUNTIFS(Leads!$F$7:$F$305,$A6,Leads!$H$7:$H$305,"Sí")</f>
        <v>0</v>
      </c>
      <c r="D6" s="6" t="n">
        <f aca="false">SUM('Gasto diario'!$C$5:$C$95)</f>
        <v>0</v>
      </c>
      <c r="E6" s="6" t="n">
        <f aca="false">SUMIFS(Leads!$I$7:$I$305,Leads!$F$7:$F$305,$A6,Leads!$H$7:$H$305,"Sí")</f>
        <v>0</v>
      </c>
      <c r="F6" s="6" t="str">
        <f aca="false">IF($B6=0,"-",$D6/$B6)</f>
        <v>-</v>
      </c>
      <c r="G6" s="6" t="str">
        <f aca="false">IF($C6=0,"-",$D6/$C6)</f>
        <v>-</v>
      </c>
      <c r="H6" s="7" t="str">
        <f aca="false">IF($B6=0,"-",$C6/$B6)</f>
        <v>-</v>
      </c>
      <c r="I6" s="8" t="str">
        <f aca="false">IF($D6=0,"-",$E6/$D6)</f>
        <v>-</v>
      </c>
    </row>
    <row r="7" customFormat="false" ht="15" hidden="false" customHeight="true" outlineLevel="0" collapsed="false">
      <c r="A7" s="5" t="s">
        <v>13</v>
      </c>
      <c r="B7" s="5" t="n">
        <f aca="false">COUNTIFS(Leads!$F$7:$F$305,$A7)</f>
        <v>0</v>
      </c>
      <c r="C7" s="5" t="n">
        <f aca="false">COUNTIFS(Leads!$F$7:$F$305,$A7,Leads!$H$7:$H$305,"Sí")</f>
        <v>0</v>
      </c>
      <c r="D7" s="6" t="n">
        <f aca="false">SUM('Gasto diario'!$D$5:$D$95)</f>
        <v>0</v>
      </c>
      <c r="E7" s="6" t="n">
        <f aca="false">SUMIFS(Leads!$I$7:$I$305,Leads!$F$7:$F$305,$A7,Leads!$H$7:$H$305,"Sí")</f>
        <v>0</v>
      </c>
      <c r="F7" s="6" t="str">
        <f aca="false">IF($B7=0,"-",$D7/$B7)</f>
        <v>-</v>
      </c>
      <c r="G7" s="6" t="str">
        <f aca="false">IF($C7=0,"-",$D7/$C7)</f>
        <v>-</v>
      </c>
      <c r="H7" s="7" t="str">
        <f aca="false">IF($B7=0,"-",$C7/$B7)</f>
        <v>-</v>
      </c>
      <c r="I7" s="8" t="str">
        <f aca="false">IF($D7=0,"-",$E7/$D7)</f>
        <v>-</v>
      </c>
    </row>
    <row r="8" customFormat="false" ht="15" hidden="false" customHeight="true" outlineLevel="0" collapsed="false">
      <c r="A8" s="5" t="s">
        <v>14</v>
      </c>
      <c r="B8" s="5" t="n">
        <f aca="false">COUNTIFS(Leads!$F$7:$F$305,$A8)</f>
        <v>0</v>
      </c>
      <c r="C8" s="5" t="n">
        <f aca="false">COUNTIFS(Leads!$F$7:$F$305,$A8,Leads!$H$7:$H$305,"Sí")</f>
        <v>0</v>
      </c>
      <c r="D8" s="6" t="n">
        <f aca="false">SUM('Gasto diario'!$E$5:$E$95)</f>
        <v>0</v>
      </c>
      <c r="E8" s="6" t="n">
        <f aca="false">SUMIFS(Leads!$I$7:$I$305,Leads!$F$7:$F$305,$A8,Leads!$H$7:$H$305,"Sí")</f>
        <v>0</v>
      </c>
      <c r="F8" s="6" t="str">
        <f aca="false">IF($B8=0,"-",$D8/$B8)</f>
        <v>-</v>
      </c>
      <c r="G8" s="6" t="str">
        <f aca="false">IF($C8=0,"-",$D8/$C8)</f>
        <v>-</v>
      </c>
      <c r="H8" s="7" t="str">
        <f aca="false">IF($B8=0,"-",$C8/$B8)</f>
        <v>-</v>
      </c>
      <c r="I8" s="8" t="str">
        <f aca="false">IF($D8=0,"-",$E8/$D8)</f>
        <v>-</v>
      </c>
    </row>
    <row r="9" customFormat="false" ht="15" hidden="false" customHeight="true" outlineLevel="0" collapsed="false">
      <c r="A9" s="9" t="s">
        <v>15</v>
      </c>
      <c r="B9" s="9" t="n">
        <f aca="false">SUM(B5:B8)</f>
        <v>0</v>
      </c>
      <c r="C9" s="9" t="n">
        <f aca="false">SUM(C5:C8)</f>
        <v>0</v>
      </c>
      <c r="D9" s="10" t="n">
        <f aca="false">SUM(D5:D8)</f>
        <v>0</v>
      </c>
      <c r="E9" s="10" t="n">
        <f aca="false">SUM(E5:E8)</f>
        <v>0</v>
      </c>
      <c r="F9" s="10" t="str">
        <f aca="false">IF($B9=0,"-",$D9/$B9)</f>
        <v>-</v>
      </c>
      <c r="G9" s="10" t="str">
        <f aca="false">IF($C9=0,"-",$D9/$C9)</f>
        <v>-</v>
      </c>
      <c r="H9" s="11" t="str">
        <f aca="false">IF($B9=0,"-",$C9/$B9)</f>
        <v>-</v>
      </c>
      <c r="I9" s="12" t="str">
        <f aca="false">IF($D9=0,"-",$E9/$D9)</f>
        <v>-</v>
      </c>
    </row>
    <row r="11" customFormat="false" ht="15" hidden="false" customHeight="true" outlineLevel="0" collapsed="false">
      <c r="A11" s="13" t="s">
        <v>16</v>
      </c>
    </row>
    <row r="12" customFormat="false" ht="15" hidden="false" customHeight="true" outlineLevel="0" collapsed="false">
      <c r="A12" s="14" t="s">
        <v>17</v>
      </c>
      <c r="B12" s="14" t="s">
        <v>3</v>
      </c>
      <c r="C12" s="14" t="s">
        <v>4</v>
      </c>
      <c r="D12" s="14" t="s">
        <v>6</v>
      </c>
      <c r="E12" s="14" t="s">
        <v>9</v>
      </c>
    </row>
    <row r="13" customFormat="false" ht="15" hidden="false" customHeight="true" outlineLevel="0" collapsed="false">
      <c r="A13" s="5" t="s">
        <v>18</v>
      </c>
      <c r="B13" s="5" t="n">
        <f aca="false">COUNTIFS(Leads!$G$7:$G$305,$A13)</f>
        <v>0</v>
      </c>
      <c r="C13" s="5" t="n">
        <f aca="false">COUNTIFS(Leads!$G$7:$G$305,$A13,Leads!$H$7:$H$305,"Sí")</f>
        <v>0</v>
      </c>
      <c r="D13" s="6" t="n">
        <f aca="false">SUMIFS(Leads!$I$7:$I$305,Leads!$G$7:$G$305,$A13,Leads!$H$7:$H$305,"Sí")</f>
        <v>0</v>
      </c>
      <c r="E13" s="7" t="str">
        <f aca="false">IF($B13=0,"-",$C13/$B13)</f>
        <v>-</v>
      </c>
    </row>
    <row r="14" customFormat="false" ht="15" hidden="false" customHeight="true" outlineLevel="0" collapsed="false">
      <c r="A14" s="5" t="s">
        <v>19</v>
      </c>
      <c r="B14" s="5" t="n">
        <f aca="false">COUNTIFS(Leads!$G$7:$G$305,$A14)</f>
        <v>0</v>
      </c>
      <c r="C14" s="5" t="n">
        <f aca="false">COUNTIFS(Leads!$G$7:$G$305,$A14,Leads!$H$7:$H$305,"Sí")</f>
        <v>0</v>
      </c>
      <c r="D14" s="6" t="n">
        <f aca="false">SUMIFS(Leads!$I$7:$I$305,Leads!$G$7:$G$305,$A14,Leads!$H$7:$H$305,"Sí")</f>
        <v>0</v>
      </c>
      <c r="E14" s="7" t="str">
        <f aca="false">IF($B14=0,"-",$C14/$B14)</f>
        <v>-</v>
      </c>
    </row>
    <row r="15" customFormat="false" ht="15" hidden="false" customHeight="true" outlineLevel="0" collapsed="false">
      <c r="A15" s="5" t="s">
        <v>20</v>
      </c>
      <c r="B15" s="5" t="n">
        <f aca="false">COUNTIFS(Leads!$G$7:$G$305,$A15)</f>
        <v>0</v>
      </c>
      <c r="C15" s="5" t="n">
        <f aca="false">COUNTIFS(Leads!$G$7:$G$305,$A15,Leads!$H$7:$H$305,"Sí")</f>
        <v>0</v>
      </c>
      <c r="D15" s="6" t="n">
        <f aca="false">SUMIFS(Leads!$I$7:$I$305,Leads!$G$7:$G$305,$A15,Leads!$H$7:$H$305,"Sí")</f>
        <v>0</v>
      </c>
      <c r="E15" s="7" t="str">
        <f aca="false">IF($B15=0,"-",$C15/$B15)</f>
        <v>-</v>
      </c>
    </row>
    <row r="16" customFormat="false" ht="15" hidden="false" customHeight="true" outlineLevel="0" collapsed="false">
      <c r="A16" s="5" t="s">
        <v>21</v>
      </c>
      <c r="B16" s="5" t="n">
        <f aca="false">COUNTIFS(Leads!$G$7:$G$305,$A16)</f>
        <v>0</v>
      </c>
      <c r="C16" s="5" t="n">
        <f aca="false">COUNTIFS(Leads!$G$7:$G$305,$A16,Leads!$H$7:$H$305,"Sí")</f>
        <v>0</v>
      </c>
      <c r="D16" s="6" t="n">
        <f aca="false">SUMIFS(Leads!$I$7:$I$305,Leads!$G$7:$G$305,$A16,Leads!$H$7:$H$305,"Sí")</f>
        <v>0</v>
      </c>
      <c r="E16" s="7" t="str">
        <f aca="false">IF($B16=0,"-",$C16/$B16)</f>
        <v>-</v>
      </c>
    </row>
    <row r="17" customFormat="false" ht="15" hidden="false" customHeight="true" outlineLevel="0" collapsed="false">
      <c r="A17" s="5" t="s">
        <v>22</v>
      </c>
      <c r="B17" s="5" t="n">
        <f aca="false">COUNTIFS(Leads!$G$7:$G$305,$A17)</f>
        <v>0</v>
      </c>
      <c r="C17" s="5" t="n">
        <f aca="false">COUNTIFS(Leads!$G$7:$G$305,$A17,Leads!$H$7:$H$305,"Sí")</f>
        <v>0</v>
      </c>
      <c r="D17" s="6" t="n">
        <f aca="false">SUMIFS(Leads!$I$7:$I$305,Leads!$G$7:$G$305,$A17,Leads!$H$7:$H$305,"Sí")</f>
        <v>0</v>
      </c>
      <c r="E17" s="7" t="str">
        <f aca="false">IF($B17=0,"-",$C17/$B17)</f>
        <v>-</v>
      </c>
    </row>
    <row r="20" customFormat="false" ht="15" hidden="false" customHeight="true" outlineLevel="0" collapsed="false">
      <c r="A20" s="15" t="s">
        <v>23</v>
      </c>
    </row>
    <row r="21" customFormat="false" ht="15" hidden="false" customHeight="true" outlineLevel="0" collapsed="false">
      <c r="A21" s="16" t="s">
        <v>24</v>
      </c>
    </row>
    <row r="22" customFormat="false" ht="15" hidden="false" customHeight="true" outlineLevel="0" collapsed="false">
      <c r="A22" s="16" t="s">
        <v>25</v>
      </c>
    </row>
    <row r="23" customFormat="false" ht="15" hidden="false" customHeight="true" outlineLevel="0" collapsed="false">
      <c r="A23" s="16" t="s">
        <v>26</v>
      </c>
    </row>
    <row r="24" customFormat="false" ht="15" hidden="false" customHeight="true" outlineLevel="0" collapsed="false">
      <c r="A24" s="1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22"/>
    <col collapsed="false" customWidth="true" hidden="false" outlineLevel="0" max="11" min="11" style="1" width="34"/>
  </cols>
  <sheetData>
    <row r="1" customFormat="false" ht="17.25" hidden="false" customHeight="true" outlineLevel="0" collapsed="false">
      <c r="A1" s="2" t="s">
        <v>28</v>
      </c>
    </row>
    <row r="2" customFormat="false" ht="15" hidden="false" customHeight="true" outlineLevel="0" collapsed="false">
      <c r="A2" s="3" t="s">
        <v>29</v>
      </c>
    </row>
    <row r="3" customFormat="false" ht="15" hidden="false" customHeight="true" outlineLevel="0" collapsed="false">
      <c r="A3" s="3" t="s">
        <v>30</v>
      </c>
    </row>
    <row r="5" customFormat="false" ht="15" hidden="false" customHeight="true" outlineLevel="0" collapsed="false">
      <c r="A5" s="14" t="s">
        <v>31</v>
      </c>
      <c r="B5" s="14" t="s">
        <v>32</v>
      </c>
      <c r="C5" s="14" t="s">
        <v>33</v>
      </c>
      <c r="D5" s="14" t="s">
        <v>34</v>
      </c>
      <c r="E5" s="14" t="s">
        <v>35</v>
      </c>
      <c r="F5" s="14" t="s">
        <v>2</v>
      </c>
      <c r="G5" s="14" t="s">
        <v>17</v>
      </c>
      <c r="H5" s="14" t="s">
        <v>36</v>
      </c>
      <c r="I5" s="14" t="s">
        <v>37</v>
      </c>
      <c r="J5" s="14" t="s">
        <v>38</v>
      </c>
      <c r="K5" s="14" t="s">
        <v>39</v>
      </c>
    </row>
    <row r="6" customFormat="false" ht="15" hidden="false" customHeight="true" outlineLevel="0" collapsed="false">
      <c r="A6" s="17" t="s">
        <v>40</v>
      </c>
      <c r="B6" s="17" t="s">
        <v>41</v>
      </c>
      <c r="C6" s="17" t="s">
        <v>42</v>
      </c>
      <c r="D6" s="17" t="s">
        <v>43</v>
      </c>
      <c r="E6" s="17" t="s">
        <v>44</v>
      </c>
      <c r="F6" s="17" t="s">
        <v>11</v>
      </c>
      <c r="G6" s="17" t="s">
        <v>18</v>
      </c>
      <c r="H6" s="17" t="s">
        <v>45</v>
      </c>
      <c r="I6" s="17" t="n">
        <v>30</v>
      </c>
      <c r="J6" s="17" t="s">
        <v>46</v>
      </c>
      <c r="K6" s="17" t="s">
        <v>47</v>
      </c>
      <c r="L6" s="18" t="s">
        <v>48</v>
      </c>
    </row>
    <row r="7" customFormat="false" ht="15" hidden="false" customHeight="true" outlineLevel="0" collapsed="false">
      <c r="A7" s="19"/>
      <c r="B7" s="20"/>
      <c r="C7" s="20"/>
      <c r="D7" s="20"/>
      <c r="E7" s="20"/>
      <c r="F7" s="20"/>
      <c r="G7" s="20"/>
      <c r="H7" s="20"/>
      <c r="I7" s="21"/>
      <c r="J7" s="20"/>
      <c r="K7" s="20"/>
    </row>
    <row r="8" customFormat="false" ht="15" hidden="false" customHeight="true" outlineLevel="0" collapsed="false">
      <c r="A8" s="19"/>
      <c r="B8" s="20"/>
      <c r="C8" s="20"/>
      <c r="D8" s="20"/>
      <c r="E8" s="20"/>
      <c r="F8" s="20"/>
      <c r="G8" s="20"/>
      <c r="H8" s="20"/>
      <c r="I8" s="21"/>
      <c r="J8" s="20"/>
      <c r="K8" s="20"/>
    </row>
    <row r="9" customFormat="false" ht="15" hidden="false" customHeight="true" outlineLevel="0" collapsed="false">
      <c r="A9" s="19"/>
      <c r="B9" s="20"/>
      <c r="C9" s="20"/>
      <c r="D9" s="20"/>
      <c r="E9" s="20"/>
      <c r="F9" s="20"/>
      <c r="G9" s="20"/>
      <c r="H9" s="20"/>
      <c r="I9" s="21"/>
      <c r="J9" s="20"/>
      <c r="K9" s="20"/>
    </row>
    <row r="10" customFormat="false" ht="15" hidden="false" customHeight="true" outlineLevel="0" collapsed="false">
      <c r="A10" s="19"/>
      <c r="B10" s="20"/>
      <c r="C10" s="20"/>
      <c r="D10" s="20"/>
      <c r="E10" s="20"/>
      <c r="F10" s="20"/>
      <c r="G10" s="20"/>
      <c r="H10" s="20"/>
      <c r="I10" s="21"/>
      <c r="J10" s="20"/>
      <c r="K10" s="20"/>
    </row>
    <row r="11" customFormat="false" ht="15" hidden="false" customHeight="true" outlineLevel="0" collapsed="false">
      <c r="A11" s="19"/>
      <c r="B11" s="20"/>
      <c r="C11" s="20"/>
      <c r="D11" s="20"/>
      <c r="E11" s="20"/>
      <c r="F11" s="20"/>
      <c r="G11" s="20"/>
      <c r="H11" s="20"/>
      <c r="I11" s="21"/>
      <c r="J11" s="20"/>
      <c r="K11" s="20"/>
    </row>
    <row r="12" customFormat="false" ht="15" hidden="false" customHeight="true" outlineLevel="0" collapsed="false">
      <c r="A12" s="19"/>
      <c r="B12" s="20"/>
      <c r="C12" s="20"/>
      <c r="D12" s="20"/>
      <c r="E12" s="20"/>
      <c r="F12" s="20"/>
      <c r="G12" s="20"/>
      <c r="H12" s="20"/>
      <c r="I12" s="21"/>
      <c r="J12" s="20"/>
      <c r="K12" s="20"/>
    </row>
    <row r="13" customFormat="false" ht="15" hidden="false" customHeight="true" outlineLevel="0" collapsed="false">
      <c r="A13" s="19"/>
      <c r="B13" s="20"/>
      <c r="C13" s="20"/>
      <c r="D13" s="20"/>
      <c r="E13" s="20"/>
      <c r="F13" s="20"/>
      <c r="G13" s="20"/>
      <c r="H13" s="20"/>
      <c r="I13" s="21"/>
      <c r="J13" s="20"/>
      <c r="K13" s="20"/>
    </row>
    <row r="14" customFormat="false" ht="15" hidden="false" customHeight="true" outlineLevel="0" collapsed="false">
      <c r="A14" s="19"/>
      <c r="B14" s="20"/>
      <c r="C14" s="20"/>
      <c r="D14" s="20"/>
      <c r="E14" s="20"/>
      <c r="F14" s="20"/>
      <c r="G14" s="20"/>
      <c r="H14" s="20"/>
      <c r="I14" s="21"/>
      <c r="J14" s="20"/>
      <c r="K14" s="20"/>
    </row>
    <row r="15" customFormat="false" ht="15" hidden="false" customHeight="true" outlineLevel="0" collapsed="false">
      <c r="A15" s="19"/>
      <c r="B15" s="20"/>
      <c r="C15" s="20"/>
      <c r="D15" s="20"/>
      <c r="E15" s="20"/>
      <c r="F15" s="20"/>
      <c r="G15" s="20"/>
      <c r="H15" s="20"/>
      <c r="I15" s="21"/>
      <c r="J15" s="20"/>
      <c r="K15" s="20"/>
    </row>
    <row r="16" customFormat="false" ht="15" hidden="false" customHeight="true" outlineLevel="0" collapsed="false">
      <c r="A16" s="19"/>
      <c r="B16" s="20"/>
      <c r="C16" s="20"/>
      <c r="D16" s="20"/>
      <c r="E16" s="20"/>
      <c r="F16" s="20"/>
      <c r="G16" s="20"/>
      <c r="H16" s="20"/>
      <c r="I16" s="21"/>
      <c r="J16" s="20"/>
      <c r="K16" s="20"/>
    </row>
    <row r="17" customFormat="false" ht="15" hidden="false" customHeight="true" outlineLevel="0" collapsed="false">
      <c r="A17" s="19"/>
      <c r="B17" s="20"/>
      <c r="C17" s="20"/>
      <c r="D17" s="20"/>
      <c r="E17" s="20"/>
      <c r="F17" s="20"/>
      <c r="G17" s="20"/>
      <c r="H17" s="20"/>
      <c r="I17" s="21"/>
      <c r="J17" s="20"/>
      <c r="K17" s="20"/>
    </row>
    <row r="18" customFormat="false" ht="15" hidden="false" customHeight="true" outlineLevel="0" collapsed="false">
      <c r="A18" s="19"/>
      <c r="B18" s="20"/>
      <c r="C18" s="20"/>
      <c r="D18" s="20"/>
      <c r="E18" s="20"/>
      <c r="F18" s="20"/>
      <c r="G18" s="20"/>
      <c r="H18" s="20"/>
      <c r="I18" s="21"/>
      <c r="J18" s="20"/>
      <c r="K18" s="20"/>
    </row>
    <row r="19" customFormat="false" ht="15" hidden="false" customHeight="true" outlineLevel="0" collapsed="false">
      <c r="A19" s="19"/>
      <c r="B19" s="20"/>
      <c r="C19" s="20"/>
      <c r="D19" s="20"/>
      <c r="E19" s="20"/>
      <c r="F19" s="20"/>
      <c r="G19" s="20"/>
      <c r="H19" s="20"/>
      <c r="I19" s="21"/>
      <c r="J19" s="20"/>
      <c r="K19" s="20"/>
    </row>
    <row r="20" customFormat="false" ht="15" hidden="false" customHeight="true" outlineLevel="0" collapsed="false">
      <c r="A20" s="19"/>
      <c r="B20" s="20"/>
      <c r="C20" s="20"/>
      <c r="D20" s="20"/>
      <c r="E20" s="20"/>
      <c r="F20" s="20"/>
      <c r="G20" s="20"/>
      <c r="H20" s="20"/>
      <c r="I20" s="21"/>
      <c r="J20" s="20"/>
      <c r="K20" s="20"/>
    </row>
    <row r="21" customFormat="false" ht="15" hidden="false" customHeight="true" outlineLevel="0" collapsed="false">
      <c r="A21" s="19"/>
      <c r="B21" s="20"/>
      <c r="C21" s="20"/>
      <c r="D21" s="20"/>
      <c r="E21" s="20"/>
      <c r="F21" s="20"/>
      <c r="G21" s="20"/>
      <c r="H21" s="20"/>
      <c r="I21" s="21"/>
      <c r="J21" s="20"/>
      <c r="K21" s="20"/>
    </row>
    <row r="22" customFormat="false" ht="15" hidden="false" customHeight="true" outlineLevel="0" collapsed="false">
      <c r="A22" s="19"/>
      <c r="B22" s="20"/>
      <c r="C22" s="20"/>
      <c r="D22" s="20"/>
      <c r="E22" s="20"/>
      <c r="F22" s="20"/>
      <c r="G22" s="20"/>
      <c r="H22" s="20"/>
      <c r="I22" s="21"/>
      <c r="J22" s="20"/>
      <c r="K22" s="20"/>
    </row>
    <row r="23" customFormat="false" ht="15" hidden="false" customHeight="true" outlineLevel="0" collapsed="false">
      <c r="A23" s="19"/>
      <c r="B23" s="20"/>
      <c r="C23" s="20"/>
      <c r="D23" s="20"/>
      <c r="E23" s="20"/>
      <c r="F23" s="20"/>
      <c r="G23" s="20"/>
      <c r="H23" s="20"/>
      <c r="I23" s="21"/>
      <c r="J23" s="20"/>
      <c r="K23" s="20"/>
    </row>
    <row r="24" customFormat="false" ht="15" hidden="false" customHeight="true" outlineLevel="0" collapsed="false">
      <c r="A24" s="19"/>
      <c r="B24" s="20"/>
      <c r="C24" s="20"/>
      <c r="D24" s="20"/>
      <c r="E24" s="20"/>
      <c r="F24" s="20"/>
      <c r="G24" s="20"/>
      <c r="H24" s="20"/>
      <c r="I24" s="21"/>
      <c r="J24" s="20"/>
      <c r="K24" s="20"/>
    </row>
    <row r="25" customFormat="false" ht="15" hidden="false" customHeight="true" outlineLevel="0" collapsed="false">
      <c r="A25" s="19"/>
      <c r="B25" s="20"/>
      <c r="C25" s="20"/>
      <c r="D25" s="20"/>
      <c r="E25" s="20"/>
      <c r="F25" s="20"/>
      <c r="G25" s="20"/>
      <c r="H25" s="20"/>
      <c r="I25" s="21"/>
      <c r="J25" s="20"/>
      <c r="K25" s="20"/>
    </row>
    <row r="26" customFormat="false" ht="15" hidden="false" customHeight="true" outlineLevel="0" collapsed="false">
      <c r="A26" s="19"/>
      <c r="B26" s="20"/>
      <c r="C26" s="20"/>
      <c r="D26" s="20"/>
      <c r="E26" s="20"/>
      <c r="F26" s="20"/>
      <c r="G26" s="20"/>
      <c r="H26" s="20"/>
      <c r="I26" s="21"/>
      <c r="J26" s="20"/>
      <c r="K26" s="20"/>
    </row>
    <row r="27" customFormat="false" ht="15" hidden="false" customHeight="true" outlineLevel="0" collapsed="false">
      <c r="A27" s="19"/>
      <c r="B27" s="20"/>
      <c r="C27" s="20"/>
      <c r="D27" s="20"/>
      <c r="E27" s="20"/>
      <c r="F27" s="20"/>
      <c r="G27" s="20"/>
      <c r="H27" s="20"/>
      <c r="I27" s="21"/>
      <c r="J27" s="20"/>
      <c r="K27" s="20"/>
    </row>
    <row r="28" customFormat="false" ht="15" hidden="false" customHeight="true" outlineLevel="0" collapsed="false">
      <c r="A28" s="19"/>
      <c r="B28" s="20"/>
      <c r="C28" s="20"/>
      <c r="D28" s="20"/>
      <c r="E28" s="20"/>
      <c r="F28" s="20"/>
      <c r="G28" s="20"/>
      <c r="H28" s="20"/>
      <c r="I28" s="21"/>
      <c r="J28" s="20"/>
      <c r="K28" s="20"/>
    </row>
    <row r="29" customFormat="false" ht="15" hidden="false" customHeight="true" outlineLevel="0" collapsed="false">
      <c r="A29" s="19"/>
      <c r="B29" s="20"/>
      <c r="C29" s="20"/>
      <c r="D29" s="20"/>
      <c r="E29" s="20"/>
      <c r="F29" s="20"/>
      <c r="G29" s="20"/>
      <c r="H29" s="20"/>
      <c r="I29" s="21"/>
      <c r="J29" s="20"/>
      <c r="K29" s="20"/>
    </row>
    <row r="30" customFormat="false" ht="15" hidden="false" customHeight="true" outlineLevel="0" collapsed="false">
      <c r="A30" s="19"/>
      <c r="B30" s="20"/>
      <c r="C30" s="20"/>
      <c r="D30" s="20"/>
      <c r="E30" s="20"/>
      <c r="F30" s="20"/>
      <c r="G30" s="20"/>
      <c r="H30" s="20"/>
      <c r="I30" s="21"/>
      <c r="J30" s="20"/>
      <c r="K30" s="20"/>
    </row>
    <row r="31" customFormat="false" ht="15" hidden="false" customHeight="true" outlineLevel="0" collapsed="false">
      <c r="A31" s="19"/>
      <c r="B31" s="20"/>
      <c r="C31" s="20"/>
      <c r="D31" s="20"/>
      <c r="E31" s="20"/>
      <c r="F31" s="20"/>
      <c r="G31" s="20"/>
      <c r="H31" s="20"/>
      <c r="I31" s="21"/>
      <c r="J31" s="20"/>
      <c r="K31" s="20"/>
    </row>
    <row r="32" customFormat="false" ht="15" hidden="false" customHeight="true" outlineLevel="0" collapsed="false">
      <c r="A32" s="19"/>
      <c r="B32" s="20"/>
      <c r="C32" s="20"/>
      <c r="D32" s="20"/>
      <c r="E32" s="20"/>
      <c r="F32" s="20"/>
      <c r="G32" s="20"/>
      <c r="H32" s="20"/>
      <c r="I32" s="21"/>
      <c r="J32" s="20"/>
      <c r="K32" s="20"/>
    </row>
    <row r="33" customFormat="false" ht="15" hidden="false" customHeight="true" outlineLevel="0" collapsed="false">
      <c r="A33" s="19"/>
      <c r="B33" s="20"/>
      <c r="C33" s="20"/>
      <c r="D33" s="20"/>
      <c r="E33" s="20"/>
      <c r="F33" s="20"/>
      <c r="G33" s="20"/>
      <c r="H33" s="20"/>
      <c r="I33" s="21"/>
      <c r="J33" s="20"/>
      <c r="K33" s="20"/>
    </row>
    <row r="34" customFormat="false" ht="15" hidden="false" customHeight="true" outlineLevel="0" collapsed="false">
      <c r="A34" s="19"/>
      <c r="B34" s="20"/>
      <c r="C34" s="20"/>
      <c r="D34" s="20"/>
      <c r="E34" s="20"/>
      <c r="F34" s="20"/>
      <c r="G34" s="20"/>
      <c r="H34" s="20"/>
      <c r="I34" s="21"/>
      <c r="J34" s="20"/>
      <c r="K34" s="20"/>
    </row>
    <row r="35" customFormat="false" ht="15" hidden="false" customHeight="true" outlineLevel="0" collapsed="false">
      <c r="A35" s="19"/>
      <c r="B35" s="20"/>
      <c r="C35" s="20"/>
      <c r="D35" s="20"/>
      <c r="E35" s="20"/>
      <c r="F35" s="20"/>
      <c r="G35" s="20"/>
      <c r="H35" s="20"/>
      <c r="I35" s="21"/>
      <c r="J35" s="20"/>
      <c r="K35" s="20"/>
    </row>
    <row r="36" customFormat="false" ht="15" hidden="false" customHeight="true" outlineLevel="0" collapsed="false">
      <c r="A36" s="19"/>
      <c r="B36" s="20"/>
      <c r="C36" s="20"/>
      <c r="D36" s="20"/>
      <c r="E36" s="20"/>
      <c r="F36" s="20"/>
      <c r="G36" s="20"/>
      <c r="H36" s="20"/>
      <c r="I36" s="21"/>
      <c r="J36" s="20"/>
      <c r="K36" s="20"/>
    </row>
    <row r="37" customFormat="false" ht="15" hidden="false" customHeight="true" outlineLevel="0" collapsed="false">
      <c r="A37" s="19"/>
      <c r="B37" s="20"/>
      <c r="C37" s="20"/>
      <c r="D37" s="20"/>
      <c r="E37" s="20"/>
      <c r="F37" s="20"/>
      <c r="G37" s="20"/>
      <c r="H37" s="20"/>
      <c r="I37" s="21"/>
      <c r="J37" s="20"/>
      <c r="K37" s="20"/>
    </row>
    <row r="38" customFormat="false" ht="15" hidden="false" customHeight="true" outlineLevel="0" collapsed="false">
      <c r="A38" s="19"/>
      <c r="B38" s="20"/>
      <c r="C38" s="20"/>
      <c r="D38" s="20"/>
      <c r="E38" s="20"/>
      <c r="F38" s="20"/>
      <c r="G38" s="20"/>
      <c r="H38" s="20"/>
      <c r="I38" s="21"/>
      <c r="J38" s="20"/>
      <c r="K38" s="20"/>
    </row>
    <row r="39" customFormat="false" ht="15" hidden="false" customHeight="true" outlineLevel="0" collapsed="false">
      <c r="A39" s="19"/>
      <c r="B39" s="20"/>
      <c r="C39" s="20"/>
      <c r="D39" s="20"/>
      <c r="E39" s="20"/>
      <c r="F39" s="20"/>
      <c r="G39" s="20"/>
      <c r="H39" s="20"/>
      <c r="I39" s="21"/>
      <c r="J39" s="20"/>
      <c r="K39" s="20"/>
    </row>
    <row r="40" customFormat="false" ht="15" hidden="false" customHeight="true" outlineLevel="0" collapsed="false">
      <c r="A40" s="19"/>
      <c r="B40" s="20"/>
      <c r="C40" s="20"/>
      <c r="D40" s="20"/>
      <c r="E40" s="20"/>
      <c r="F40" s="20"/>
      <c r="G40" s="20"/>
      <c r="H40" s="20"/>
      <c r="I40" s="21"/>
      <c r="J40" s="20"/>
      <c r="K40" s="20"/>
    </row>
    <row r="41" customFormat="false" ht="15" hidden="false" customHeight="true" outlineLevel="0" collapsed="false">
      <c r="A41" s="19"/>
      <c r="B41" s="20"/>
      <c r="C41" s="20"/>
      <c r="D41" s="20"/>
      <c r="E41" s="20"/>
      <c r="F41" s="20"/>
      <c r="G41" s="20"/>
      <c r="H41" s="20"/>
      <c r="I41" s="21"/>
      <c r="J41" s="20"/>
      <c r="K41" s="20"/>
    </row>
    <row r="42" customFormat="false" ht="15" hidden="false" customHeight="true" outlineLevel="0" collapsed="false">
      <c r="A42" s="19"/>
      <c r="B42" s="20"/>
      <c r="C42" s="20"/>
      <c r="D42" s="20"/>
      <c r="E42" s="20"/>
      <c r="F42" s="20"/>
      <c r="G42" s="20"/>
      <c r="H42" s="20"/>
      <c r="I42" s="21"/>
      <c r="J42" s="20"/>
      <c r="K42" s="20"/>
    </row>
    <row r="43" customFormat="false" ht="15" hidden="false" customHeight="true" outlineLevel="0" collapsed="false">
      <c r="A43" s="19"/>
      <c r="B43" s="20"/>
      <c r="C43" s="20"/>
      <c r="D43" s="20"/>
      <c r="E43" s="20"/>
      <c r="F43" s="20"/>
      <c r="G43" s="20"/>
      <c r="H43" s="20"/>
      <c r="I43" s="21"/>
      <c r="J43" s="20"/>
      <c r="K43" s="20"/>
    </row>
    <row r="44" customFormat="false" ht="15" hidden="false" customHeight="true" outlineLevel="0" collapsed="false">
      <c r="A44" s="19"/>
      <c r="B44" s="20"/>
      <c r="C44" s="20"/>
      <c r="D44" s="20"/>
      <c r="E44" s="20"/>
      <c r="F44" s="20"/>
      <c r="G44" s="20"/>
      <c r="H44" s="20"/>
      <c r="I44" s="21"/>
      <c r="J44" s="20"/>
      <c r="K44" s="20"/>
    </row>
    <row r="45" customFormat="false" ht="15" hidden="false" customHeight="true" outlineLevel="0" collapsed="false">
      <c r="A45" s="19"/>
      <c r="B45" s="20"/>
      <c r="C45" s="20"/>
      <c r="D45" s="20"/>
      <c r="E45" s="20"/>
      <c r="F45" s="20"/>
      <c r="G45" s="20"/>
      <c r="H45" s="20"/>
      <c r="I45" s="21"/>
      <c r="J45" s="20"/>
      <c r="K45" s="20"/>
    </row>
    <row r="46" customFormat="false" ht="15" hidden="false" customHeight="true" outlineLevel="0" collapsed="false">
      <c r="A46" s="19"/>
      <c r="B46" s="20"/>
      <c r="C46" s="20"/>
      <c r="D46" s="20"/>
      <c r="E46" s="20"/>
      <c r="F46" s="20"/>
      <c r="G46" s="20"/>
      <c r="H46" s="20"/>
      <c r="I46" s="21"/>
      <c r="J46" s="20"/>
      <c r="K46" s="20"/>
    </row>
    <row r="47" customFormat="false" ht="15" hidden="false" customHeight="true" outlineLevel="0" collapsed="false">
      <c r="A47" s="19"/>
      <c r="B47" s="20"/>
      <c r="C47" s="20"/>
      <c r="D47" s="20"/>
      <c r="E47" s="20"/>
      <c r="F47" s="20"/>
      <c r="G47" s="20"/>
      <c r="H47" s="20"/>
      <c r="I47" s="21"/>
      <c r="J47" s="20"/>
      <c r="K47" s="20"/>
    </row>
    <row r="48" customFormat="false" ht="15" hidden="false" customHeight="true" outlineLevel="0" collapsed="false">
      <c r="A48" s="19"/>
      <c r="B48" s="20"/>
      <c r="C48" s="20"/>
      <c r="D48" s="20"/>
      <c r="E48" s="20"/>
      <c r="F48" s="20"/>
      <c r="G48" s="20"/>
      <c r="H48" s="20"/>
      <c r="I48" s="21"/>
      <c r="J48" s="20"/>
      <c r="K48" s="20"/>
    </row>
    <row r="49" customFormat="false" ht="15" hidden="false" customHeight="true" outlineLevel="0" collapsed="false">
      <c r="A49" s="19"/>
      <c r="B49" s="20"/>
      <c r="C49" s="20"/>
      <c r="D49" s="20"/>
      <c r="E49" s="20"/>
      <c r="F49" s="20"/>
      <c r="G49" s="20"/>
      <c r="H49" s="20"/>
      <c r="I49" s="21"/>
      <c r="J49" s="20"/>
      <c r="K49" s="20"/>
    </row>
    <row r="50" customFormat="false" ht="15" hidden="false" customHeight="true" outlineLevel="0" collapsed="false">
      <c r="A50" s="19"/>
      <c r="B50" s="20"/>
      <c r="C50" s="20"/>
      <c r="D50" s="20"/>
      <c r="E50" s="20"/>
      <c r="F50" s="20"/>
      <c r="G50" s="20"/>
      <c r="H50" s="20"/>
      <c r="I50" s="21"/>
      <c r="J50" s="20"/>
      <c r="K50" s="20"/>
    </row>
    <row r="51" customFormat="false" ht="15" hidden="false" customHeight="true" outlineLevel="0" collapsed="false">
      <c r="A51" s="19"/>
      <c r="B51" s="20"/>
      <c r="C51" s="20"/>
      <c r="D51" s="20"/>
      <c r="E51" s="20"/>
      <c r="F51" s="20"/>
      <c r="G51" s="20"/>
      <c r="H51" s="20"/>
      <c r="I51" s="21"/>
      <c r="J51" s="20"/>
      <c r="K51" s="20"/>
    </row>
    <row r="52" customFormat="false" ht="15" hidden="false" customHeight="true" outlineLevel="0" collapsed="false">
      <c r="A52" s="19"/>
      <c r="B52" s="20"/>
      <c r="C52" s="20"/>
      <c r="D52" s="20"/>
      <c r="E52" s="20"/>
      <c r="F52" s="20"/>
      <c r="G52" s="20"/>
      <c r="H52" s="20"/>
      <c r="I52" s="21"/>
      <c r="J52" s="20"/>
      <c r="K52" s="20"/>
    </row>
    <row r="53" customFormat="false" ht="15" hidden="false" customHeight="true" outlineLevel="0" collapsed="false">
      <c r="A53" s="19"/>
      <c r="B53" s="20"/>
      <c r="C53" s="20"/>
      <c r="D53" s="20"/>
      <c r="E53" s="20"/>
      <c r="F53" s="20"/>
      <c r="G53" s="20"/>
      <c r="H53" s="20"/>
      <c r="I53" s="21"/>
      <c r="J53" s="20"/>
      <c r="K53" s="20"/>
    </row>
    <row r="54" customFormat="false" ht="15" hidden="false" customHeight="true" outlineLevel="0" collapsed="false">
      <c r="A54" s="19"/>
      <c r="B54" s="20"/>
      <c r="C54" s="20"/>
      <c r="D54" s="20"/>
      <c r="E54" s="20"/>
      <c r="F54" s="20"/>
      <c r="G54" s="20"/>
      <c r="H54" s="20"/>
      <c r="I54" s="21"/>
      <c r="J54" s="20"/>
      <c r="K54" s="20"/>
    </row>
    <row r="55" customFormat="false" ht="15" hidden="false" customHeight="true" outlineLevel="0" collapsed="false">
      <c r="A55" s="19"/>
      <c r="B55" s="20"/>
      <c r="C55" s="20"/>
      <c r="D55" s="20"/>
      <c r="E55" s="20"/>
      <c r="F55" s="20"/>
      <c r="G55" s="20"/>
      <c r="H55" s="20"/>
      <c r="I55" s="21"/>
      <c r="J55" s="20"/>
      <c r="K55" s="20"/>
    </row>
    <row r="56" customFormat="false" ht="15" hidden="false" customHeight="true" outlineLevel="0" collapsed="false">
      <c r="A56" s="19"/>
      <c r="B56" s="20"/>
      <c r="C56" s="20"/>
      <c r="D56" s="20"/>
      <c r="E56" s="20"/>
      <c r="F56" s="20"/>
      <c r="G56" s="20"/>
      <c r="H56" s="20"/>
      <c r="I56" s="21"/>
      <c r="J56" s="20"/>
      <c r="K56" s="20"/>
    </row>
    <row r="57" customFormat="false" ht="15" hidden="false" customHeight="true" outlineLevel="0" collapsed="false">
      <c r="A57" s="19"/>
      <c r="B57" s="20"/>
      <c r="C57" s="20"/>
      <c r="D57" s="20"/>
      <c r="E57" s="20"/>
      <c r="F57" s="20"/>
      <c r="G57" s="20"/>
      <c r="H57" s="20"/>
      <c r="I57" s="21"/>
      <c r="J57" s="20"/>
      <c r="K57" s="20"/>
    </row>
    <row r="58" customFormat="false" ht="15" hidden="false" customHeight="true" outlineLevel="0" collapsed="false">
      <c r="A58" s="19"/>
      <c r="B58" s="20"/>
      <c r="C58" s="20"/>
      <c r="D58" s="20"/>
      <c r="E58" s="20"/>
      <c r="F58" s="20"/>
      <c r="G58" s="20"/>
      <c r="H58" s="20"/>
      <c r="I58" s="21"/>
      <c r="J58" s="20"/>
      <c r="K58" s="20"/>
    </row>
    <row r="59" customFormat="false" ht="15" hidden="false" customHeight="true" outlineLevel="0" collapsed="false">
      <c r="A59" s="19"/>
      <c r="B59" s="20"/>
      <c r="C59" s="20"/>
      <c r="D59" s="20"/>
      <c r="E59" s="20"/>
      <c r="F59" s="20"/>
      <c r="G59" s="20"/>
      <c r="H59" s="20"/>
      <c r="I59" s="21"/>
      <c r="J59" s="20"/>
      <c r="K59" s="20"/>
    </row>
    <row r="60" customFormat="false" ht="15" hidden="false" customHeight="true" outlineLevel="0" collapsed="false">
      <c r="A60" s="19"/>
      <c r="B60" s="20"/>
      <c r="C60" s="20"/>
      <c r="D60" s="20"/>
      <c r="E60" s="20"/>
      <c r="F60" s="20"/>
      <c r="G60" s="20"/>
      <c r="H60" s="20"/>
      <c r="I60" s="21"/>
      <c r="J60" s="20"/>
      <c r="K60" s="20"/>
    </row>
    <row r="61" customFormat="false" ht="15" hidden="false" customHeight="true" outlineLevel="0" collapsed="false">
      <c r="A61" s="19"/>
      <c r="B61" s="20"/>
      <c r="C61" s="20"/>
      <c r="D61" s="20"/>
      <c r="E61" s="20"/>
      <c r="F61" s="20"/>
      <c r="G61" s="20"/>
      <c r="H61" s="20"/>
      <c r="I61" s="21"/>
      <c r="J61" s="20"/>
      <c r="K61" s="20"/>
    </row>
    <row r="62" customFormat="false" ht="15" hidden="false" customHeight="true" outlineLevel="0" collapsed="false">
      <c r="A62" s="19"/>
      <c r="B62" s="20"/>
      <c r="C62" s="20"/>
      <c r="D62" s="20"/>
      <c r="E62" s="20"/>
      <c r="F62" s="20"/>
      <c r="G62" s="20"/>
      <c r="H62" s="20"/>
      <c r="I62" s="21"/>
      <c r="J62" s="20"/>
      <c r="K62" s="20"/>
    </row>
    <row r="63" customFormat="false" ht="15" hidden="false" customHeight="true" outlineLevel="0" collapsed="false">
      <c r="A63" s="19"/>
      <c r="B63" s="20"/>
      <c r="C63" s="20"/>
      <c r="D63" s="20"/>
      <c r="E63" s="20"/>
      <c r="F63" s="20"/>
      <c r="G63" s="20"/>
      <c r="H63" s="20"/>
      <c r="I63" s="21"/>
      <c r="J63" s="20"/>
      <c r="K63" s="20"/>
    </row>
    <row r="64" customFormat="false" ht="15" hidden="false" customHeight="true" outlineLevel="0" collapsed="false">
      <c r="A64" s="19"/>
      <c r="B64" s="20"/>
      <c r="C64" s="20"/>
      <c r="D64" s="20"/>
      <c r="E64" s="20"/>
      <c r="F64" s="20"/>
      <c r="G64" s="20"/>
      <c r="H64" s="20"/>
      <c r="I64" s="21"/>
      <c r="J64" s="20"/>
      <c r="K64" s="20"/>
    </row>
    <row r="65" customFormat="false" ht="15" hidden="false" customHeight="true" outlineLevel="0" collapsed="false">
      <c r="A65" s="19"/>
      <c r="B65" s="20"/>
      <c r="C65" s="20"/>
      <c r="D65" s="20"/>
      <c r="E65" s="20"/>
      <c r="F65" s="20"/>
      <c r="G65" s="20"/>
      <c r="H65" s="20"/>
      <c r="I65" s="21"/>
      <c r="J65" s="20"/>
      <c r="K65" s="20"/>
    </row>
    <row r="66" customFormat="false" ht="15" hidden="false" customHeight="true" outlineLevel="0" collapsed="false">
      <c r="A66" s="19"/>
      <c r="B66" s="20"/>
      <c r="C66" s="20"/>
      <c r="D66" s="20"/>
      <c r="E66" s="20"/>
      <c r="F66" s="20"/>
      <c r="G66" s="20"/>
      <c r="H66" s="20"/>
      <c r="I66" s="21"/>
      <c r="J66" s="20"/>
      <c r="K66" s="20"/>
    </row>
    <row r="67" customFormat="false" ht="15" hidden="false" customHeight="true" outlineLevel="0" collapsed="false">
      <c r="A67" s="19"/>
      <c r="B67" s="20"/>
      <c r="C67" s="20"/>
      <c r="D67" s="20"/>
      <c r="E67" s="20"/>
      <c r="F67" s="20"/>
      <c r="G67" s="20"/>
      <c r="H67" s="20"/>
      <c r="I67" s="21"/>
      <c r="J67" s="20"/>
      <c r="K67" s="20"/>
    </row>
    <row r="68" customFormat="false" ht="15" hidden="false" customHeight="true" outlineLevel="0" collapsed="false">
      <c r="A68" s="19"/>
      <c r="B68" s="20"/>
      <c r="C68" s="20"/>
      <c r="D68" s="20"/>
      <c r="E68" s="20"/>
      <c r="F68" s="20"/>
      <c r="G68" s="20"/>
      <c r="H68" s="20"/>
      <c r="I68" s="21"/>
      <c r="J68" s="20"/>
      <c r="K68" s="20"/>
    </row>
    <row r="69" customFormat="false" ht="15" hidden="false" customHeight="true" outlineLevel="0" collapsed="false">
      <c r="A69" s="19"/>
      <c r="B69" s="20"/>
      <c r="C69" s="20"/>
      <c r="D69" s="20"/>
      <c r="E69" s="20"/>
      <c r="F69" s="20"/>
      <c r="G69" s="20"/>
      <c r="H69" s="20"/>
      <c r="I69" s="21"/>
      <c r="J69" s="20"/>
      <c r="K69" s="20"/>
    </row>
    <row r="70" customFormat="false" ht="15" hidden="false" customHeight="true" outlineLevel="0" collapsed="false">
      <c r="A70" s="19"/>
      <c r="B70" s="20"/>
      <c r="C70" s="20"/>
      <c r="D70" s="20"/>
      <c r="E70" s="20"/>
      <c r="F70" s="20"/>
      <c r="G70" s="20"/>
      <c r="H70" s="20"/>
      <c r="I70" s="21"/>
      <c r="J70" s="20"/>
      <c r="K70" s="20"/>
    </row>
    <row r="71" customFormat="false" ht="15" hidden="false" customHeight="true" outlineLevel="0" collapsed="false">
      <c r="A71" s="19"/>
      <c r="B71" s="20"/>
      <c r="C71" s="20"/>
      <c r="D71" s="20"/>
      <c r="E71" s="20"/>
      <c r="F71" s="20"/>
      <c r="G71" s="20"/>
      <c r="H71" s="20"/>
      <c r="I71" s="21"/>
      <c r="J71" s="20"/>
      <c r="K71" s="20"/>
    </row>
    <row r="72" customFormat="false" ht="15" hidden="false" customHeight="true" outlineLevel="0" collapsed="false">
      <c r="A72" s="19"/>
      <c r="B72" s="20"/>
      <c r="C72" s="20"/>
      <c r="D72" s="20"/>
      <c r="E72" s="20"/>
      <c r="F72" s="20"/>
      <c r="G72" s="20"/>
      <c r="H72" s="20"/>
      <c r="I72" s="21"/>
      <c r="J72" s="20"/>
      <c r="K72" s="20"/>
    </row>
    <row r="73" customFormat="false" ht="15" hidden="false" customHeight="true" outlineLevel="0" collapsed="false">
      <c r="A73" s="19"/>
      <c r="B73" s="20"/>
      <c r="C73" s="20"/>
      <c r="D73" s="20"/>
      <c r="E73" s="20"/>
      <c r="F73" s="20"/>
      <c r="G73" s="20"/>
      <c r="H73" s="20"/>
      <c r="I73" s="21"/>
      <c r="J73" s="20"/>
      <c r="K73" s="20"/>
    </row>
    <row r="74" customFormat="false" ht="15" hidden="false" customHeight="true" outlineLevel="0" collapsed="false">
      <c r="A74" s="19"/>
      <c r="B74" s="20"/>
      <c r="C74" s="20"/>
      <c r="D74" s="20"/>
      <c r="E74" s="20"/>
      <c r="F74" s="20"/>
      <c r="G74" s="20"/>
      <c r="H74" s="20"/>
      <c r="I74" s="21"/>
      <c r="J74" s="20"/>
      <c r="K74" s="20"/>
    </row>
    <row r="75" customFormat="false" ht="15" hidden="false" customHeight="true" outlineLevel="0" collapsed="false">
      <c r="A75" s="19"/>
      <c r="B75" s="20"/>
      <c r="C75" s="20"/>
      <c r="D75" s="20"/>
      <c r="E75" s="20"/>
      <c r="F75" s="20"/>
      <c r="G75" s="20"/>
      <c r="H75" s="20"/>
      <c r="I75" s="21"/>
      <c r="J75" s="20"/>
      <c r="K75" s="20"/>
    </row>
    <row r="76" customFormat="false" ht="15" hidden="false" customHeight="true" outlineLevel="0" collapsed="false">
      <c r="A76" s="19"/>
      <c r="B76" s="20"/>
      <c r="C76" s="20"/>
      <c r="D76" s="20"/>
      <c r="E76" s="20"/>
      <c r="F76" s="20"/>
      <c r="G76" s="20"/>
      <c r="H76" s="20"/>
      <c r="I76" s="21"/>
      <c r="J76" s="20"/>
      <c r="K76" s="20"/>
    </row>
    <row r="77" customFormat="false" ht="15" hidden="false" customHeight="true" outlineLevel="0" collapsed="false">
      <c r="A77" s="19"/>
      <c r="B77" s="20"/>
      <c r="C77" s="20"/>
      <c r="D77" s="20"/>
      <c r="E77" s="20"/>
      <c r="F77" s="20"/>
      <c r="G77" s="20"/>
      <c r="H77" s="20"/>
      <c r="I77" s="21"/>
      <c r="J77" s="20"/>
      <c r="K77" s="20"/>
    </row>
    <row r="78" customFormat="false" ht="15" hidden="false" customHeight="true" outlineLevel="0" collapsed="false">
      <c r="A78" s="19"/>
      <c r="B78" s="20"/>
      <c r="C78" s="20"/>
      <c r="D78" s="20"/>
      <c r="E78" s="20"/>
      <c r="F78" s="20"/>
      <c r="G78" s="20"/>
      <c r="H78" s="20"/>
      <c r="I78" s="21"/>
      <c r="J78" s="20"/>
      <c r="K78" s="20"/>
    </row>
    <row r="79" customFormat="false" ht="15" hidden="false" customHeight="true" outlineLevel="0" collapsed="false">
      <c r="A79" s="19"/>
      <c r="B79" s="20"/>
      <c r="C79" s="20"/>
      <c r="D79" s="20"/>
      <c r="E79" s="20"/>
      <c r="F79" s="20"/>
      <c r="G79" s="20"/>
      <c r="H79" s="20"/>
      <c r="I79" s="21"/>
      <c r="J79" s="20"/>
      <c r="K79" s="20"/>
    </row>
    <row r="80" customFormat="false" ht="15" hidden="false" customHeight="true" outlineLevel="0" collapsed="false">
      <c r="A80" s="19"/>
      <c r="B80" s="20"/>
      <c r="C80" s="20"/>
      <c r="D80" s="20"/>
      <c r="E80" s="20"/>
      <c r="F80" s="20"/>
      <c r="G80" s="20"/>
      <c r="H80" s="20"/>
      <c r="I80" s="21"/>
      <c r="J80" s="20"/>
      <c r="K80" s="20"/>
    </row>
    <row r="81" customFormat="false" ht="15" hidden="false" customHeight="true" outlineLevel="0" collapsed="false">
      <c r="A81" s="19"/>
      <c r="B81" s="20"/>
      <c r="C81" s="20"/>
      <c r="D81" s="20"/>
      <c r="E81" s="20"/>
      <c r="F81" s="20"/>
      <c r="G81" s="20"/>
      <c r="H81" s="20"/>
      <c r="I81" s="21"/>
      <c r="J81" s="20"/>
      <c r="K81" s="20"/>
    </row>
    <row r="82" customFormat="false" ht="15" hidden="false" customHeight="true" outlineLevel="0" collapsed="false">
      <c r="A82" s="19"/>
      <c r="B82" s="20"/>
      <c r="C82" s="20"/>
      <c r="D82" s="20"/>
      <c r="E82" s="20"/>
      <c r="F82" s="20"/>
      <c r="G82" s="20"/>
      <c r="H82" s="20"/>
      <c r="I82" s="21"/>
      <c r="J82" s="20"/>
      <c r="K82" s="20"/>
    </row>
    <row r="83" customFormat="false" ht="15" hidden="false" customHeight="true" outlineLevel="0" collapsed="false">
      <c r="A83" s="19"/>
      <c r="B83" s="20"/>
      <c r="C83" s="20"/>
      <c r="D83" s="20"/>
      <c r="E83" s="20"/>
      <c r="F83" s="20"/>
      <c r="G83" s="20"/>
      <c r="H83" s="20"/>
      <c r="I83" s="21"/>
      <c r="J83" s="20"/>
      <c r="K83" s="20"/>
    </row>
    <row r="84" customFormat="false" ht="15" hidden="false" customHeight="true" outlineLevel="0" collapsed="false">
      <c r="A84" s="19"/>
      <c r="B84" s="20"/>
      <c r="C84" s="20"/>
      <c r="D84" s="20"/>
      <c r="E84" s="20"/>
      <c r="F84" s="20"/>
      <c r="G84" s="20"/>
      <c r="H84" s="20"/>
      <c r="I84" s="21"/>
      <c r="J84" s="20"/>
      <c r="K84" s="20"/>
    </row>
    <row r="85" customFormat="false" ht="15" hidden="false" customHeight="true" outlineLevel="0" collapsed="false">
      <c r="A85" s="19"/>
      <c r="B85" s="20"/>
      <c r="C85" s="20"/>
      <c r="D85" s="20"/>
      <c r="E85" s="20"/>
      <c r="F85" s="20"/>
      <c r="G85" s="20"/>
      <c r="H85" s="20"/>
      <c r="I85" s="21"/>
      <c r="J85" s="20"/>
      <c r="K85" s="20"/>
    </row>
    <row r="86" customFormat="false" ht="15" hidden="false" customHeight="true" outlineLevel="0" collapsed="false">
      <c r="A86" s="19"/>
      <c r="B86" s="20"/>
      <c r="C86" s="20"/>
      <c r="D86" s="20"/>
      <c r="E86" s="20"/>
      <c r="F86" s="20"/>
      <c r="G86" s="20"/>
      <c r="H86" s="20"/>
      <c r="I86" s="21"/>
      <c r="J86" s="20"/>
      <c r="K86" s="20"/>
    </row>
    <row r="87" customFormat="false" ht="15" hidden="false" customHeight="true" outlineLevel="0" collapsed="false">
      <c r="A87" s="19"/>
      <c r="B87" s="20"/>
      <c r="C87" s="20"/>
      <c r="D87" s="20"/>
      <c r="E87" s="20"/>
      <c r="F87" s="20"/>
      <c r="G87" s="20"/>
      <c r="H87" s="20"/>
      <c r="I87" s="21"/>
      <c r="J87" s="20"/>
      <c r="K87" s="20"/>
    </row>
    <row r="88" customFormat="false" ht="15" hidden="false" customHeight="true" outlineLevel="0" collapsed="false">
      <c r="A88" s="19"/>
      <c r="B88" s="20"/>
      <c r="C88" s="20"/>
      <c r="D88" s="20"/>
      <c r="E88" s="20"/>
      <c r="F88" s="20"/>
      <c r="G88" s="20"/>
      <c r="H88" s="20"/>
      <c r="I88" s="21"/>
      <c r="J88" s="20"/>
      <c r="K88" s="20"/>
    </row>
    <row r="89" customFormat="false" ht="15" hidden="false" customHeight="true" outlineLevel="0" collapsed="false">
      <c r="A89" s="19"/>
      <c r="B89" s="20"/>
      <c r="C89" s="20"/>
      <c r="D89" s="20"/>
      <c r="E89" s="20"/>
      <c r="F89" s="20"/>
      <c r="G89" s="20"/>
      <c r="H89" s="20"/>
      <c r="I89" s="21"/>
      <c r="J89" s="20"/>
      <c r="K89" s="20"/>
    </row>
    <row r="90" customFormat="false" ht="15" hidden="false" customHeight="true" outlineLevel="0" collapsed="false">
      <c r="A90" s="19"/>
      <c r="B90" s="20"/>
      <c r="C90" s="20"/>
      <c r="D90" s="20"/>
      <c r="E90" s="20"/>
      <c r="F90" s="20"/>
      <c r="G90" s="20"/>
      <c r="H90" s="20"/>
      <c r="I90" s="21"/>
      <c r="J90" s="20"/>
      <c r="K90" s="20"/>
    </row>
    <row r="91" customFormat="false" ht="15" hidden="false" customHeight="true" outlineLevel="0" collapsed="false">
      <c r="A91" s="19"/>
      <c r="B91" s="20"/>
      <c r="C91" s="20"/>
      <c r="D91" s="20"/>
      <c r="E91" s="20"/>
      <c r="F91" s="20"/>
      <c r="G91" s="20"/>
      <c r="H91" s="20"/>
      <c r="I91" s="21"/>
      <c r="J91" s="20"/>
      <c r="K91" s="20"/>
    </row>
    <row r="92" customFormat="false" ht="15" hidden="false" customHeight="true" outlineLevel="0" collapsed="false">
      <c r="A92" s="19"/>
      <c r="B92" s="20"/>
      <c r="C92" s="20"/>
      <c r="D92" s="20"/>
      <c r="E92" s="20"/>
      <c r="F92" s="20"/>
      <c r="G92" s="20"/>
      <c r="H92" s="20"/>
      <c r="I92" s="21"/>
      <c r="J92" s="20"/>
      <c r="K92" s="20"/>
    </row>
    <row r="93" customFormat="false" ht="15" hidden="false" customHeight="true" outlineLevel="0" collapsed="false">
      <c r="A93" s="19"/>
      <c r="B93" s="20"/>
      <c r="C93" s="20"/>
      <c r="D93" s="20"/>
      <c r="E93" s="20"/>
      <c r="F93" s="20"/>
      <c r="G93" s="20"/>
      <c r="H93" s="20"/>
      <c r="I93" s="21"/>
      <c r="J93" s="20"/>
      <c r="K93" s="20"/>
    </row>
    <row r="94" customFormat="false" ht="15" hidden="false" customHeight="true" outlineLevel="0" collapsed="false">
      <c r="A94" s="19"/>
      <c r="B94" s="20"/>
      <c r="C94" s="20"/>
      <c r="D94" s="20"/>
      <c r="E94" s="20"/>
      <c r="F94" s="20"/>
      <c r="G94" s="20"/>
      <c r="H94" s="20"/>
      <c r="I94" s="21"/>
      <c r="J94" s="20"/>
      <c r="K94" s="20"/>
    </row>
    <row r="95" customFormat="false" ht="15" hidden="false" customHeight="true" outlineLevel="0" collapsed="false">
      <c r="A95" s="19"/>
      <c r="B95" s="20"/>
      <c r="C95" s="20"/>
      <c r="D95" s="20"/>
      <c r="E95" s="20"/>
      <c r="F95" s="20"/>
      <c r="G95" s="20"/>
      <c r="H95" s="20"/>
      <c r="I95" s="21"/>
      <c r="J95" s="20"/>
      <c r="K95" s="20"/>
    </row>
    <row r="96" customFormat="false" ht="15" hidden="false" customHeight="true" outlineLevel="0" collapsed="false">
      <c r="A96" s="19"/>
      <c r="B96" s="20"/>
      <c r="C96" s="20"/>
      <c r="D96" s="20"/>
      <c r="E96" s="20"/>
      <c r="F96" s="20"/>
      <c r="G96" s="20"/>
      <c r="H96" s="20"/>
      <c r="I96" s="21"/>
      <c r="J96" s="20"/>
      <c r="K96" s="20"/>
    </row>
    <row r="97" customFormat="false" ht="15" hidden="false" customHeight="true" outlineLevel="0" collapsed="false">
      <c r="A97" s="19"/>
      <c r="B97" s="20"/>
      <c r="C97" s="20"/>
      <c r="D97" s="20"/>
      <c r="E97" s="20"/>
      <c r="F97" s="20"/>
      <c r="G97" s="20"/>
      <c r="H97" s="20"/>
      <c r="I97" s="21"/>
      <c r="J97" s="20"/>
      <c r="K97" s="20"/>
    </row>
    <row r="98" customFormat="false" ht="15" hidden="false" customHeight="true" outlineLevel="0" collapsed="false">
      <c r="A98" s="19"/>
      <c r="B98" s="20"/>
      <c r="C98" s="20"/>
      <c r="D98" s="20"/>
      <c r="E98" s="20"/>
      <c r="F98" s="20"/>
      <c r="G98" s="20"/>
      <c r="H98" s="20"/>
      <c r="I98" s="21"/>
      <c r="J98" s="20"/>
      <c r="K98" s="20"/>
    </row>
    <row r="99" customFormat="false" ht="15" hidden="false" customHeight="true" outlineLevel="0" collapsed="false">
      <c r="A99" s="19"/>
      <c r="B99" s="20"/>
      <c r="C99" s="20"/>
      <c r="D99" s="20"/>
      <c r="E99" s="20"/>
      <c r="F99" s="20"/>
      <c r="G99" s="20"/>
      <c r="H99" s="20"/>
      <c r="I99" s="21"/>
      <c r="J99" s="20"/>
      <c r="K99" s="20"/>
    </row>
    <row r="100" customFormat="false" ht="15" hidden="false" customHeight="true" outlineLevel="0" collapsed="false">
      <c r="A100" s="19"/>
      <c r="B100" s="20"/>
      <c r="C100" s="20"/>
      <c r="D100" s="20"/>
      <c r="E100" s="20"/>
      <c r="F100" s="20"/>
      <c r="G100" s="20"/>
      <c r="H100" s="20"/>
      <c r="I100" s="21"/>
      <c r="J100" s="20"/>
      <c r="K100" s="20"/>
    </row>
    <row r="101" customFormat="false" ht="15" hidden="false" customHeight="true" outlineLevel="0" collapsed="false">
      <c r="A101" s="19"/>
      <c r="B101" s="20"/>
      <c r="C101" s="20"/>
      <c r="D101" s="20"/>
      <c r="E101" s="20"/>
      <c r="F101" s="20"/>
      <c r="G101" s="20"/>
      <c r="H101" s="20"/>
      <c r="I101" s="21"/>
      <c r="J101" s="20"/>
      <c r="K101" s="20"/>
    </row>
    <row r="102" customFormat="false" ht="15" hidden="false" customHeight="true" outlineLevel="0" collapsed="false">
      <c r="A102" s="19"/>
      <c r="B102" s="20"/>
      <c r="C102" s="20"/>
      <c r="D102" s="20"/>
      <c r="E102" s="20"/>
      <c r="F102" s="20"/>
      <c r="G102" s="20"/>
      <c r="H102" s="20"/>
      <c r="I102" s="21"/>
      <c r="J102" s="20"/>
      <c r="K102" s="20"/>
    </row>
    <row r="103" customFormat="false" ht="15" hidden="false" customHeight="true" outlineLevel="0" collapsed="false">
      <c r="A103" s="19"/>
      <c r="B103" s="20"/>
      <c r="C103" s="20"/>
      <c r="D103" s="20"/>
      <c r="E103" s="20"/>
      <c r="F103" s="20"/>
      <c r="G103" s="20"/>
      <c r="H103" s="20"/>
      <c r="I103" s="21"/>
      <c r="J103" s="20"/>
      <c r="K103" s="20"/>
    </row>
    <row r="104" customFormat="false" ht="15" hidden="false" customHeight="true" outlineLevel="0" collapsed="false">
      <c r="A104" s="19"/>
      <c r="B104" s="20"/>
      <c r="C104" s="20"/>
      <c r="D104" s="20"/>
      <c r="E104" s="20"/>
      <c r="F104" s="20"/>
      <c r="G104" s="20"/>
      <c r="H104" s="20"/>
      <c r="I104" s="21"/>
      <c r="J104" s="20"/>
      <c r="K104" s="20"/>
    </row>
    <row r="105" customFormat="false" ht="15" hidden="false" customHeight="true" outlineLevel="0" collapsed="false">
      <c r="A105" s="19"/>
      <c r="B105" s="20"/>
      <c r="C105" s="20"/>
      <c r="D105" s="20"/>
      <c r="E105" s="20"/>
      <c r="F105" s="20"/>
      <c r="G105" s="20"/>
      <c r="H105" s="20"/>
      <c r="I105" s="21"/>
      <c r="J105" s="20"/>
      <c r="K105" s="20"/>
    </row>
    <row r="106" customFormat="false" ht="15" hidden="false" customHeight="true" outlineLevel="0" collapsed="false">
      <c r="A106" s="19"/>
      <c r="B106" s="20"/>
      <c r="C106" s="20"/>
      <c r="D106" s="20"/>
      <c r="E106" s="20"/>
      <c r="F106" s="20"/>
      <c r="G106" s="20"/>
      <c r="H106" s="20"/>
      <c r="I106" s="21"/>
      <c r="J106" s="20"/>
      <c r="K106" s="20"/>
    </row>
    <row r="107" customFormat="false" ht="15" hidden="false" customHeight="true" outlineLevel="0" collapsed="false">
      <c r="A107" s="19"/>
      <c r="B107" s="20"/>
      <c r="C107" s="20"/>
      <c r="D107" s="20"/>
      <c r="E107" s="20"/>
      <c r="F107" s="20"/>
      <c r="G107" s="20"/>
      <c r="H107" s="20"/>
      <c r="I107" s="21"/>
      <c r="J107" s="20"/>
      <c r="K107" s="20"/>
    </row>
    <row r="108" customFormat="false" ht="15" hidden="false" customHeight="true" outlineLevel="0" collapsed="false">
      <c r="A108" s="19"/>
      <c r="B108" s="20"/>
      <c r="C108" s="20"/>
      <c r="D108" s="20"/>
      <c r="E108" s="20"/>
      <c r="F108" s="20"/>
      <c r="G108" s="20"/>
      <c r="H108" s="20"/>
      <c r="I108" s="21"/>
      <c r="J108" s="20"/>
      <c r="K108" s="20"/>
    </row>
    <row r="109" customFormat="false" ht="15" hidden="false" customHeight="true" outlineLevel="0" collapsed="false">
      <c r="A109" s="19"/>
      <c r="B109" s="20"/>
      <c r="C109" s="20"/>
      <c r="D109" s="20"/>
      <c r="E109" s="20"/>
      <c r="F109" s="20"/>
      <c r="G109" s="20"/>
      <c r="H109" s="20"/>
      <c r="I109" s="21"/>
      <c r="J109" s="20"/>
      <c r="K109" s="20"/>
    </row>
    <row r="110" customFormat="false" ht="15" hidden="false" customHeight="true" outlineLevel="0" collapsed="false">
      <c r="A110" s="19"/>
      <c r="B110" s="20"/>
      <c r="C110" s="20"/>
      <c r="D110" s="20"/>
      <c r="E110" s="20"/>
      <c r="F110" s="20"/>
      <c r="G110" s="20"/>
      <c r="H110" s="20"/>
      <c r="I110" s="21"/>
      <c r="J110" s="20"/>
      <c r="K110" s="20"/>
    </row>
    <row r="111" customFormat="false" ht="15" hidden="false" customHeight="true" outlineLevel="0" collapsed="false">
      <c r="A111" s="19"/>
      <c r="B111" s="20"/>
      <c r="C111" s="20"/>
      <c r="D111" s="20"/>
      <c r="E111" s="20"/>
      <c r="F111" s="20"/>
      <c r="G111" s="20"/>
      <c r="H111" s="20"/>
      <c r="I111" s="21"/>
      <c r="J111" s="20"/>
      <c r="K111" s="20"/>
    </row>
    <row r="112" customFormat="false" ht="15" hidden="false" customHeight="true" outlineLevel="0" collapsed="false">
      <c r="A112" s="19"/>
      <c r="B112" s="20"/>
      <c r="C112" s="20"/>
      <c r="D112" s="20"/>
      <c r="E112" s="20"/>
      <c r="F112" s="20"/>
      <c r="G112" s="20"/>
      <c r="H112" s="20"/>
      <c r="I112" s="21"/>
      <c r="J112" s="20"/>
      <c r="K112" s="20"/>
    </row>
    <row r="113" customFormat="false" ht="15" hidden="false" customHeight="true" outlineLevel="0" collapsed="false">
      <c r="A113" s="19"/>
      <c r="B113" s="20"/>
      <c r="C113" s="20"/>
      <c r="D113" s="20"/>
      <c r="E113" s="20"/>
      <c r="F113" s="20"/>
      <c r="G113" s="20"/>
      <c r="H113" s="20"/>
      <c r="I113" s="21"/>
      <c r="J113" s="20"/>
      <c r="K113" s="20"/>
    </row>
    <row r="114" customFormat="false" ht="15" hidden="false" customHeight="true" outlineLevel="0" collapsed="false">
      <c r="A114" s="19"/>
      <c r="B114" s="20"/>
      <c r="C114" s="20"/>
      <c r="D114" s="20"/>
      <c r="E114" s="20"/>
      <c r="F114" s="20"/>
      <c r="G114" s="20"/>
      <c r="H114" s="20"/>
      <c r="I114" s="21"/>
      <c r="J114" s="20"/>
      <c r="K114" s="20"/>
    </row>
    <row r="115" customFormat="false" ht="15" hidden="false" customHeight="true" outlineLevel="0" collapsed="false">
      <c r="A115" s="19"/>
      <c r="B115" s="20"/>
      <c r="C115" s="20"/>
      <c r="D115" s="20"/>
      <c r="E115" s="20"/>
      <c r="F115" s="20"/>
      <c r="G115" s="20"/>
      <c r="H115" s="20"/>
      <c r="I115" s="21"/>
      <c r="J115" s="20"/>
      <c r="K115" s="20"/>
    </row>
    <row r="116" customFormat="false" ht="15" hidden="false" customHeight="true" outlineLevel="0" collapsed="false">
      <c r="A116" s="19"/>
      <c r="B116" s="20"/>
      <c r="C116" s="20"/>
      <c r="D116" s="20"/>
      <c r="E116" s="20"/>
      <c r="F116" s="20"/>
      <c r="G116" s="20"/>
      <c r="H116" s="20"/>
      <c r="I116" s="21"/>
      <c r="J116" s="20"/>
      <c r="K116" s="20"/>
    </row>
    <row r="117" customFormat="false" ht="15" hidden="false" customHeight="true" outlineLevel="0" collapsed="false">
      <c r="A117" s="19"/>
      <c r="B117" s="20"/>
      <c r="C117" s="20"/>
      <c r="D117" s="20"/>
      <c r="E117" s="20"/>
      <c r="F117" s="20"/>
      <c r="G117" s="20"/>
      <c r="H117" s="20"/>
      <c r="I117" s="21"/>
      <c r="J117" s="20"/>
      <c r="K117" s="20"/>
    </row>
    <row r="118" customFormat="false" ht="15" hidden="false" customHeight="true" outlineLevel="0" collapsed="false">
      <c r="A118" s="19"/>
      <c r="B118" s="20"/>
      <c r="C118" s="20"/>
      <c r="D118" s="20"/>
      <c r="E118" s="20"/>
      <c r="F118" s="20"/>
      <c r="G118" s="20"/>
      <c r="H118" s="20"/>
      <c r="I118" s="21"/>
      <c r="J118" s="20"/>
      <c r="K118" s="20"/>
    </row>
    <row r="119" customFormat="false" ht="15" hidden="false" customHeight="true" outlineLevel="0" collapsed="false">
      <c r="A119" s="19"/>
      <c r="B119" s="20"/>
      <c r="C119" s="20"/>
      <c r="D119" s="20"/>
      <c r="E119" s="20"/>
      <c r="F119" s="20"/>
      <c r="G119" s="20"/>
      <c r="H119" s="20"/>
      <c r="I119" s="21"/>
      <c r="J119" s="20"/>
      <c r="K119" s="20"/>
    </row>
    <row r="120" customFormat="false" ht="15" hidden="false" customHeight="true" outlineLevel="0" collapsed="false">
      <c r="A120" s="19"/>
      <c r="B120" s="20"/>
      <c r="C120" s="20"/>
      <c r="D120" s="20"/>
      <c r="E120" s="20"/>
      <c r="F120" s="20"/>
      <c r="G120" s="20"/>
      <c r="H120" s="20"/>
      <c r="I120" s="21"/>
      <c r="J120" s="20"/>
      <c r="K120" s="20"/>
    </row>
    <row r="121" customFormat="false" ht="15" hidden="false" customHeight="true" outlineLevel="0" collapsed="false">
      <c r="A121" s="19"/>
      <c r="B121" s="20"/>
      <c r="C121" s="20"/>
      <c r="D121" s="20"/>
      <c r="E121" s="20"/>
      <c r="F121" s="20"/>
      <c r="G121" s="20"/>
      <c r="H121" s="20"/>
      <c r="I121" s="21"/>
      <c r="J121" s="20"/>
      <c r="K121" s="20"/>
    </row>
    <row r="122" customFormat="false" ht="15" hidden="false" customHeight="true" outlineLevel="0" collapsed="false">
      <c r="A122" s="19"/>
      <c r="B122" s="20"/>
      <c r="C122" s="20"/>
      <c r="D122" s="20"/>
      <c r="E122" s="20"/>
      <c r="F122" s="20"/>
      <c r="G122" s="20"/>
      <c r="H122" s="20"/>
      <c r="I122" s="21"/>
      <c r="J122" s="20"/>
      <c r="K122" s="20"/>
    </row>
    <row r="123" customFormat="false" ht="15" hidden="false" customHeight="true" outlineLevel="0" collapsed="false">
      <c r="A123" s="19"/>
      <c r="B123" s="20"/>
      <c r="C123" s="20"/>
      <c r="D123" s="20"/>
      <c r="E123" s="20"/>
      <c r="F123" s="20"/>
      <c r="G123" s="20"/>
      <c r="H123" s="20"/>
      <c r="I123" s="21"/>
      <c r="J123" s="20"/>
      <c r="K123" s="20"/>
    </row>
    <row r="124" customFormat="false" ht="15" hidden="false" customHeight="true" outlineLevel="0" collapsed="false">
      <c r="A124" s="19"/>
      <c r="B124" s="20"/>
      <c r="C124" s="20"/>
      <c r="D124" s="20"/>
      <c r="E124" s="20"/>
      <c r="F124" s="20"/>
      <c r="G124" s="20"/>
      <c r="H124" s="20"/>
      <c r="I124" s="21"/>
      <c r="J124" s="20"/>
      <c r="K124" s="20"/>
    </row>
    <row r="125" customFormat="false" ht="15" hidden="false" customHeight="true" outlineLevel="0" collapsed="false">
      <c r="A125" s="19"/>
      <c r="B125" s="20"/>
      <c r="C125" s="20"/>
      <c r="D125" s="20"/>
      <c r="E125" s="20"/>
      <c r="F125" s="20"/>
      <c r="G125" s="20"/>
      <c r="H125" s="20"/>
      <c r="I125" s="21"/>
      <c r="J125" s="20"/>
      <c r="K125" s="20"/>
    </row>
    <row r="126" customFormat="false" ht="15" hidden="false" customHeight="true" outlineLevel="0" collapsed="false">
      <c r="A126" s="19"/>
      <c r="B126" s="20"/>
      <c r="C126" s="20"/>
      <c r="D126" s="20"/>
      <c r="E126" s="20"/>
      <c r="F126" s="20"/>
      <c r="G126" s="20"/>
      <c r="H126" s="20"/>
      <c r="I126" s="21"/>
      <c r="J126" s="20"/>
      <c r="K126" s="20"/>
    </row>
    <row r="127" customFormat="false" ht="15" hidden="false" customHeight="true" outlineLevel="0" collapsed="false">
      <c r="A127" s="19"/>
      <c r="B127" s="20"/>
      <c r="C127" s="20"/>
      <c r="D127" s="20"/>
      <c r="E127" s="20"/>
      <c r="F127" s="20"/>
      <c r="G127" s="20"/>
      <c r="H127" s="20"/>
      <c r="I127" s="21"/>
      <c r="J127" s="20"/>
      <c r="K127" s="20"/>
    </row>
    <row r="128" customFormat="false" ht="15" hidden="false" customHeight="true" outlineLevel="0" collapsed="false">
      <c r="A128" s="19"/>
      <c r="B128" s="20"/>
      <c r="C128" s="20"/>
      <c r="D128" s="20"/>
      <c r="E128" s="20"/>
      <c r="F128" s="20"/>
      <c r="G128" s="20"/>
      <c r="H128" s="20"/>
      <c r="I128" s="21"/>
      <c r="J128" s="20"/>
      <c r="K128" s="20"/>
    </row>
    <row r="129" customFormat="false" ht="15" hidden="false" customHeight="true" outlineLevel="0" collapsed="false">
      <c r="A129" s="19"/>
      <c r="B129" s="20"/>
      <c r="C129" s="20"/>
      <c r="D129" s="20"/>
      <c r="E129" s="20"/>
      <c r="F129" s="20"/>
      <c r="G129" s="20"/>
      <c r="H129" s="20"/>
      <c r="I129" s="21"/>
      <c r="J129" s="20"/>
      <c r="K129" s="20"/>
    </row>
    <row r="130" customFormat="false" ht="15" hidden="false" customHeight="true" outlineLevel="0" collapsed="false">
      <c r="A130" s="19"/>
      <c r="B130" s="20"/>
      <c r="C130" s="20"/>
      <c r="D130" s="20"/>
      <c r="E130" s="20"/>
      <c r="F130" s="20"/>
      <c r="G130" s="20"/>
      <c r="H130" s="20"/>
      <c r="I130" s="21"/>
      <c r="J130" s="20"/>
      <c r="K130" s="20"/>
    </row>
    <row r="131" customFormat="false" ht="15" hidden="false" customHeight="true" outlineLevel="0" collapsed="false">
      <c r="A131" s="19"/>
      <c r="B131" s="20"/>
      <c r="C131" s="20"/>
      <c r="D131" s="20"/>
      <c r="E131" s="20"/>
      <c r="F131" s="20"/>
      <c r="G131" s="20"/>
      <c r="H131" s="20"/>
      <c r="I131" s="21"/>
      <c r="J131" s="20"/>
      <c r="K131" s="20"/>
    </row>
    <row r="132" customFormat="false" ht="15" hidden="false" customHeight="true" outlineLevel="0" collapsed="false">
      <c r="A132" s="19"/>
      <c r="B132" s="20"/>
      <c r="C132" s="20"/>
      <c r="D132" s="20"/>
      <c r="E132" s="20"/>
      <c r="F132" s="20"/>
      <c r="G132" s="20"/>
      <c r="H132" s="20"/>
      <c r="I132" s="21"/>
      <c r="J132" s="20"/>
      <c r="K132" s="20"/>
    </row>
    <row r="133" customFormat="false" ht="15" hidden="false" customHeight="true" outlineLevel="0" collapsed="false">
      <c r="A133" s="19"/>
      <c r="B133" s="20"/>
      <c r="C133" s="20"/>
      <c r="D133" s="20"/>
      <c r="E133" s="20"/>
      <c r="F133" s="20"/>
      <c r="G133" s="20"/>
      <c r="H133" s="20"/>
      <c r="I133" s="21"/>
      <c r="J133" s="20"/>
      <c r="K133" s="20"/>
    </row>
    <row r="134" customFormat="false" ht="15" hidden="false" customHeight="true" outlineLevel="0" collapsed="false">
      <c r="A134" s="19"/>
      <c r="B134" s="20"/>
      <c r="C134" s="20"/>
      <c r="D134" s="20"/>
      <c r="E134" s="20"/>
      <c r="F134" s="20"/>
      <c r="G134" s="20"/>
      <c r="H134" s="20"/>
      <c r="I134" s="21"/>
      <c r="J134" s="20"/>
      <c r="K134" s="20"/>
    </row>
    <row r="135" customFormat="false" ht="15" hidden="false" customHeight="true" outlineLevel="0" collapsed="false">
      <c r="A135" s="19"/>
      <c r="B135" s="20"/>
      <c r="C135" s="20"/>
      <c r="D135" s="20"/>
      <c r="E135" s="20"/>
      <c r="F135" s="20"/>
      <c r="G135" s="20"/>
      <c r="H135" s="20"/>
      <c r="I135" s="21"/>
      <c r="J135" s="20"/>
      <c r="K135" s="20"/>
    </row>
    <row r="136" customFormat="false" ht="15" hidden="false" customHeight="true" outlineLevel="0" collapsed="false">
      <c r="A136" s="19"/>
      <c r="B136" s="20"/>
      <c r="C136" s="20"/>
      <c r="D136" s="20"/>
      <c r="E136" s="20"/>
      <c r="F136" s="20"/>
      <c r="G136" s="20"/>
      <c r="H136" s="20"/>
      <c r="I136" s="21"/>
      <c r="J136" s="20"/>
      <c r="K136" s="20"/>
    </row>
    <row r="137" customFormat="false" ht="15" hidden="false" customHeight="true" outlineLevel="0" collapsed="false">
      <c r="A137" s="19"/>
      <c r="B137" s="20"/>
      <c r="C137" s="20"/>
      <c r="D137" s="20"/>
      <c r="E137" s="20"/>
      <c r="F137" s="20"/>
      <c r="G137" s="20"/>
      <c r="H137" s="20"/>
      <c r="I137" s="21"/>
      <c r="J137" s="20"/>
      <c r="K137" s="20"/>
    </row>
    <row r="138" customFormat="false" ht="15" hidden="false" customHeight="true" outlineLevel="0" collapsed="false">
      <c r="A138" s="19"/>
      <c r="B138" s="20"/>
      <c r="C138" s="20"/>
      <c r="D138" s="20"/>
      <c r="E138" s="20"/>
      <c r="F138" s="20"/>
      <c r="G138" s="20"/>
      <c r="H138" s="20"/>
      <c r="I138" s="21"/>
      <c r="J138" s="20"/>
      <c r="K138" s="20"/>
    </row>
    <row r="139" customFormat="false" ht="15" hidden="false" customHeight="true" outlineLevel="0" collapsed="false">
      <c r="A139" s="19"/>
      <c r="B139" s="20"/>
      <c r="C139" s="20"/>
      <c r="D139" s="20"/>
      <c r="E139" s="20"/>
      <c r="F139" s="20"/>
      <c r="G139" s="20"/>
      <c r="H139" s="20"/>
      <c r="I139" s="21"/>
      <c r="J139" s="20"/>
      <c r="K139" s="20"/>
    </row>
    <row r="140" customFormat="false" ht="15" hidden="false" customHeight="true" outlineLevel="0" collapsed="false">
      <c r="A140" s="19"/>
      <c r="B140" s="20"/>
      <c r="C140" s="20"/>
      <c r="D140" s="20"/>
      <c r="E140" s="20"/>
      <c r="F140" s="20"/>
      <c r="G140" s="20"/>
      <c r="H140" s="20"/>
      <c r="I140" s="21"/>
      <c r="J140" s="20"/>
      <c r="K140" s="20"/>
    </row>
    <row r="141" customFormat="false" ht="15" hidden="false" customHeight="true" outlineLevel="0" collapsed="false">
      <c r="A141" s="19"/>
      <c r="B141" s="20"/>
      <c r="C141" s="20"/>
      <c r="D141" s="20"/>
      <c r="E141" s="20"/>
      <c r="F141" s="20"/>
      <c r="G141" s="20"/>
      <c r="H141" s="20"/>
      <c r="I141" s="21"/>
      <c r="J141" s="20"/>
      <c r="K141" s="20"/>
    </row>
    <row r="142" customFormat="false" ht="15" hidden="false" customHeight="true" outlineLevel="0" collapsed="false">
      <c r="A142" s="19"/>
      <c r="B142" s="20"/>
      <c r="C142" s="20"/>
      <c r="D142" s="20"/>
      <c r="E142" s="20"/>
      <c r="F142" s="20"/>
      <c r="G142" s="20"/>
      <c r="H142" s="20"/>
      <c r="I142" s="21"/>
      <c r="J142" s="20"/>
      <c r="K142" s="20"/>
    </row>
    <row r="143" customFormat="false" ht="15" hidden="false" customHeight="true" outlineLevel="0" collapsed="false">
      <c r="A143" s="19"/>
      <c r="B143" s="20"/>
      <c r="C143" s="20"/>
      <c r="D143" s="20"/>
      <c r="E143" s="20"/>
      <c r="F143" s="20"/>
      <c r="G143" s="20"/>
      <c r="H143" s="20"/>
      <c r="I143" s="21"/>
      <c r="J143" s="20"/>
      <c r="K143" s="20"/>
    </row>
    <row r="144" customFormat="false" ht="15" hidden="false" customHeight="true" outlineLevel="0" collapsed="false">
      <c r="A144" s="19"/>
      <c r="B144" s="20"/>
      <c r="C144" s="20"/>
      <c r="D144" s="20"/>
      <c r="E144" s="20"/>
      <c r="F144" s="20"/>
      <c r="G144" s="20"/>
      <c r="H144" s="20"/>
      <c r="I144" s="21"/>
      <c r="J144" s="20"/>
      <c r="K144" s="20"/>
    </row>
    <row r="145" customFormat="false" ht="15" hidden="false" customHeight="true" outlineLevel="0" collapsed="false">
      <c r="A145" s="19"/>
      <c r="B145" s="20"/>
      <c r="C145" s="20"/>
      <c r="D145" s="20"/>
      <c r="E145" s="20"/>
      <c r="F145" s="20"/>
      <c r="G145" s="20"/>
      <c r="H145" s="20"/>
      <c r="I145" s="21"/>
      <c r="J145" s="20"/>
      <c r="K145" s="20"/>
    </row>
    <row r="146" customFormat="false" ht="15" hidden="false" customHeight="true" outlineLevel="0" collapsed="false">
      <c r="A146" s="19"/>
      <c r="B146" s="20"/>
      <c r="C146" s="20"/>
      <c r="D146" s="20"/>
      <c r="E146" s="20"/>
      <c r="F146" s="20"/>
      <c r="G146" s="20"/>
      <c r="H146" s="20"/>
      <c r="I146" s="21"/>
      <c r="J146" s="20"/>
      <c r="K146" s="20"/>
    </row>
    <row r="147" customFormat="false" ht="15" hidden="false" customHeight="true" outlineLevel="0" collapsed="false">
      <c r="A147" s="19"/>
      <c r="B147" s="20"/>
      <c r="C147" s="20"/>
      <c r="D147" s="20"/>
      <c r="E147" s="20"/>
      <c r="F147" s="20"/>
      <c r="G147" s="20"/>
      <c r="H147" s="20"/>
      <c r="I147" s="21"/>
      <c r="J147" s="20"/>
      <c r="K147" s="20"/>
    </row>
    <row r="148" customFormat="false" ht="15" hidden="false" customHeight="true" outlineLevel="0" collapsed="false">
      <c r="A148" s="19"/>
      <c r="B148" s="20"/>
      <c r="C148" s="20"/>
      <c r="D148" s="20"/>
      <c r="E148" s="20"/>
      <c r="F148" s="20"/>
      <c r="G148" s="20"/>
      <c r="H148" s="20"/>
      <c r="I148" s="21"/>
      <c r="J148" s="20"/>
      <c r="K148" s="20"/>
    </row>
    <row r="149" customFormat="false" ht="15" hidden="false" customHeight="true" outlineLevel="0" collapsed="false">
      <c r="A149" s="19"/>
      <c r="B149" s="20"/>
      <c r="C149" s="20"/>
      <c r="D149" s="20"/>
      <c r="E149" s="20"/>
      <c r="F149" s="20"/>
      <c r="G149" s="20"/>
      <c r="H149" s="20"/>
      <c r="I149" s="21"/>
      <c r="J149" s="20"/>
      <c r="K149" s="20"/>
    </row>
    <row r="150" customFormat="false" ht="15" hidden="false" customHeight="true" outlineLevel="0" collapsed="false">
      <c r="A150" s="19"/>
      <c r="B150" s="20"/>
      <c r="C150" s="20"/>
      <c r="D150" s="20"/>
      <c r="E150" s="20"/>
      <c r="F150" s="20"/>
      <c r="G150" s="20"/>
      <c r="H150" s="20"/>
      <c r="I150" s="21"/>
      <c r="J150" s="20"/>
      <c r="K150" s="20"/>
    </row>
    <row r="151" customFormat="false" ht="15" hidden="false" customHeight="true" outlineLevel="0" collapsed="false">
      <c r="A151" s="19"/>
      <c r="B151" s="20"/>
      <c r="C151" s="20"/>
      <c r="D151" s="20"/>
      <c r="E151" s="20"/>
      <c r="F151" s="20"/>
      <c r="G151" s="20"/>
      <c r="H151" s="20"/>
      <c r="I151" s="21"/>
      <c r="J151" s="20"/>
      <c r="K151" s="20"/>
    </row>
    <row r="152" customFormat="false" ht="15" hidden="false" customHeight="true" outlineLevel="0" collapsed="false">
      <c r="A152" s="19"/>
      <c r="B152" s="20"/>
      <c r="C152" s="20"/>
      <c r="D152" s="20"/>
      <c r="E152" s="20"/>
      <c r="F152" s="20"/>
      <c r="G152" s="20"/>
      <c r="H152" s="20"/>
      <c r="I152" s="21"/>
      <c r="J152" s="20"/>
      <c r="K152" s="20"/>
    </row>
    <row r="153" customFormat="false" ht="15" hidden="false" customHeight="true" outlineLevel="0" collapsed="false">
      <c r="A153" s="19"/>
      <c r="B153" s="20"/>
      <c r="C153" s="20"/>
      <c r="D153" s="20"/>
      <c r="E153" s="20"/>
      <c r="F153" s="20"/>
      <c r="G153" s="20"/>
      <c r="H153" s="20"/>
      <c r="I153" s="21"/>
      <c r="J153" s="20"/>
      <c r="K153" s="20"/>
    </row>
    <row r="154" customFormat="false" ht="15" hidden="false" customHeight="true" outlineLevel="0" collapsed="false">
      <c r="A154" s="19"/>
      <c r="B154" s="20"/>
      <c r="C154" s="20"/>
      <c r="D154" s="20"/>
      <c r="E154" s="20"/>
      <c r="F154" s="20"/>
      <c r="G154" s="20"/>
      <c r="H154" s="20"/>
      <c r="I154" s="21"/>
      <c r="J154" s="20"/>
      <c r="K154" s="20"/>
    </row>
    <row r="155" customFormat="false" ht="15" hidden="false" customHeight="true" outlineLevel="0" collapsed="false">
      <c r="A155" s="19"/>
      <c r="B155" s="20"/>
      <c r="C155" s="20"/>
      <c r="D155" s="20"/>
      <c r="E155" s="20"/>
      <c r="F155" s="20"/>
      <c r="G155" s="20"/>
      <c r="H155" s="20"/>
      <c r="I155" s="21"/>
      <c r="J155" s="20"/>
      <c r="K155" s="20"/>
    </row>
    <row r="156" customFormat="false" ht="15" hidden="false" customHeight="true" outlineLevel="0" collapsed="false">
      <c r="A156" s="19"/>
      <c r="B156" s="20"/>
      <c r="C156" s="20"/>
      <c r="D156" s="20"/>
      <c r="E156" s="20"/>
      <c r="F156" s="20"/>
      <c r="G156" s="20"/>
      <c r="H156" s="20"/>
      <c r="I156" s="21"/>
      <c r="J156" s="20"/>
      <c r="K156" s="20"/>
    </row>
    <row r="157" customFormat="false" ht="15" hidden="false" customHeight="true" outlineLevel="0" collapsed="false">
      <c r="A157" s="19"/>
      <c r="B157" s="20"/>
      <c r="C157" s="20"/>
      <c r="D157" s="20"/>
      <c r="E157" s="20"/>
      <c r="F157" s="20"/>
      <c r="G157" s="20"/>
      <c r="H157" s="20"/>
      <c r="I157" s="21"/>
      <c r="J157" s="20"/>
      <c r="K157" s="20"/>
    </row>
    <row r="158" customFormat="false" ht="15" hidden="false" customHeight="true" outlineLevel="0" collapsed="false">
      <c r="A158" s="19"/>
      <c r="B158" s="20"/>
      <c r="C158" s="20"/>
      <c r="D158" s="20"/>
      <c r="E158" s="20"/>
      <c r="F158" s="20"/>
      <c r="G158" s="20"/>
      <c r="H158" s="20"/>
      <c r="I158" s="21"/>
      <c r="J158" s="20"/>
      <c r="K158" s="20"/>
    </row>
    <row r="159" customFormat="false" ht="15" hidden="false" customHeight="true" outlineLevel="0" collapsed="false">
      <c r="A159" s="19"/>
      <c r="B159" s="20"/>
      <c r="C159" s="20"/>
      <c r="D159" s="20"/>
      <c r="E159" s="20"/>
      <c r="F159" s="20"/>
      <c r="G159" s="20"/>
      <c r="H159" s="20"/>
      <c r="I159" s="21"/>
      <c r="J159" s="20"/>
      <c r="K159" s="20"/>
    </row>
    <row r="160" customFormat="false" ht="15" hidden="false" customHeight="true" outlineLevel="0" collapsed="false">
      <c r="A160" s="19"/>
      <c r="B160" s="20"/>
      <c r="C160" s="20"/>
      <c r="D160" s="20"/>
      <c r="E160" s="20"/>
      <c r="F160" s="20"/>
      <c r="G160" s="20"/>
      <c r="H160" s="20"/>
      <c r="I160" s="21"/>
      <c r="J160" s="20"/>
      <c r="K160" s="20"/>
    </row>
    <row r="161" customFormat="false" ht="15" hidden="false" customHeight="true" outlineLevel="0" collapsed="false">
      <c r="A161" s="19"/>
      <c r="B161" s="20"/>
      <c r="C161" s="20"/>
      <c r="D161" s="20"/>
      <c r="E161" s="20"/>
      <c r="F161" s="20"/>
      <c r="G161" s="20"/>
      <c r="H161" s="20"/>
      <c r="I161" s="21"/>
      <c r="J161" s="20"/>
      <c r="K161" s="20"/>
    </row>
    <row r="162" customFormat="false" ht="15" hidden="false" customHeight="true" outlineLevel="0" collapsed="false">
      <c r="A162" s="19"/>
      <c r="B162" s="20"/>
      <c r="C162" s="20"/>
      <c r="D162" s="20"/>
      <c r="E162" s="20"/>
      <c r="F162" s="20"/>
      <c r="G162" s="20"/>
      <c r="H162" s="20"/>
      <c r="I162" s="21"/>
      <c r="J162" s="20"/>
      <c r="K162" s="20"/>
    </row>
    <row r="163" customFormat="false" ht="15" hidden="false" customHeight="true" outlineLevel="0" collapsed="false">
      <c r="A163" s="19"/>
      <c r="B163" s="20"/>
      <c r="C163" s="20"/>
      <c r="D163" s="20"/>
      <c r="E163" s="20"/>
      <c r="F163" s="20"/>
      <c r="G163" s="20"/>
      <c r="H163" s="20"/>
      <c r="I163" s="21"/>
      <c r="J163" s="20"/>
      <c r="K163" s="20"/>
    </row>
    <row r="164" customFormat="false" ht="15" hidden="false" customHeight="true" outlineLevel="0" collapsed="false">
      <c r="A164" s="19"/>
      <c r="B164" s="20"/>
      <c r="C164" s="20"/>
      <c r="D164" s="20"/>
      <c r="E164" s="20"/>
      <c r="F164" s="20"/>
      <c r="G164" s="20"/>
      <c r="H164" s="20"/>
      <c r="I164" s="21"/>
      <c r="J164" s="20"/>
      <c r="K164" s="20"/>
    </row>
    <row r="165" customFormat="false" ht="15" hidden="false" customHeight="true" outlineLevel="0" collapsed="false">
      <c r="A165" s="19"/>
      <c r="B165" s="20"/>
      <c r="C165" s="20"/>
      <c r="D165" s="20"/>
      <c r="E165" s="20"/>
      <c r="F165" s="20"/>
      <c r="G165" s="20"/>
      <c r="H165" s="20"/>
      <c r="I165" s="21"/>
      <c r="J165" s="20"/>
      <c r="K165" s="20"/>
    </row>
    <row r="166" customFormat="false" ht="15" hidden="false" customHeight="true" outlineLevel="0" collapsed="false">
      <c r="A166" s="19"/>
      <c r="B166" s="20"/>
      <c r="C166" s="20"/>
      <c r="D166" s="20"/>
      <c r="E166" s="20"/>
      <c r="F166" s="20"/>
      <c r="G166" s="20"/>
      <c r="H166" s="20"/>
      <c r="I166" s="21"/>
      <c r="J166" s="20"/>
      <c r="K166" s="20"/>
    </row>
    <row r="167" customFormat="false" ht="15" hidden="false" customHeight="true" outlineLevel="0" collapsed="false">
      <c r="A167" s="19"/>
      <c r="B167" s="20"/>
      <c r="C167" s="20"/>
      <c r="D167" s="20"/>
      <c r="E167" s="20"/>
      <c r="F167" s="20"/>
      <c r="G167" s="20"/>
      <c r="H167" s="20"/>
      <c r="I167" s="21"/>
      <c r="J167" s="20"/>
      <c r="K167" s="20"/>
    </row>
    <row r="168" customFormat="false" ht="15" hidden="false" customHeight="true" outlineLevel="0" collapsed="false">
      <c r="A168" s="19"/>
      <c r="B168" s="20"/>
      <c r="C168" s="20"/>
      <c r="D168" s="20"/>
      <c r="E168" s="20"/>
      <c r="F168" s="20"/>
      <c r="G168" s="20"/>
      <c r="H168" s="20"/>
      <c r="I168" s="21"/>
      <c r="J168" s="20"/>
      <c r="K168" s="20"/>
    </row>
    <row r="169" customFormat="false" ht="15" hidden="false" customHeight="true" outlineLevel="0" collapsed="false">
      <c r="A169" s="19"/>
      <c r="B169" s="20"/>
      <c r="C169" s="20"/>
      <c r="D169" s="20"/>
      <c r="E169" s="20"/>
      <c r="F169" s="20"/>
      <c r="G169" s="20"/>
      <c r="H169" s="20"/>
      <c r="I169" s="21"/>
      <c r="J169" s="20"/>
      <c r="K169" s="20"/>
    </row>
    <row r="170" customFormat="false" ht="15" hidden="false" customHeight="true" outlineLevel="0" collapsed="false">
      <c r="A170" s="19"/>
      <c r="B170" s="20"/>
      <c r="C170" s="20"/>
      <c r="D170" s="20"/>
      <c r="E170" s="20"/>
      <c r="F170" s="20"/>
      <c r="G170" s="20"/>
      <c r="H170" s="20"/>
      <c r="I170" s="21"/>
      <c r="J170" s="20"/>
      <c r="K170" s="20"/>
    </row>
    <row r="171" customFormat="false" ht="15" hidden="false" customHeight="true" outlineLevel="0" collapsed="false">
      <c r="A171" s="19"/>
      <c r="B171" s="20"/>
      <c r="C171" s="20"/>
      <c r="D171" s="20"/>
      <c r="E171" s="20"/>
      <c r="F171" s="20"/>
      <c r="G171" s="20"/>
      <c r="H171" s="20"/>
      <c r="I171" s="21"/>
      <c r="J171" s="20"/>
      <c r="K171" s="20"/>
    </row>
    <row r="172" customFormat="false" ht="15" hidden="false" customHeight="true" outlineLevel="0" collapsed="false">
      <c r="A172" s="19"/>
      <c r="B172" s="20"/>
      <c r="C172" s="20"/>
      <c r="D172" s="20"/>
      <c r="E172" s="20"/>
      <c r="F172" s="20"/>
      <c r="G172" s="20"/>
      <c r="H172" s="20"/>
      <c r="I172" s="21"/>
      <c r="J172" s="20"/>
      <c r="K172" s="20"/>
    </row>
    <row r="173" customFormat="false" ht="15" hidden="false" customHeight="true" outlineLevel="0" collapsed="false">
      <c r="A173" s="19"/>
      <c r="B173" s="20"/>
      <c r="C173" s="20"/>
      <c r="D173" s="20"/>
      <c r="E173" s="20"/>
      <c r="F173" s="20"/>
      <c r="G173" s="20"/>
      <c r="H173" s="20"/>
      <c r="I173" s="21"/>
      <c r="J173" s="20"/>
      <c r="K173" s="20"/>
    </row>
    <row r="174" customFormat="false" ht="15" hidden="false" customHeight="true" outlineLevel="0" collapsed="false">
      <c r="A174" s="19"/>
      <c r="B174" s="20"/>
      <c r="C174" s="20"/>
      <c r="D174" s="20"/>
      <c r="E174" s="20"/>
      <c r="F174" s="20"/>
      <c r="G174" s="20"/>
      <c r="H174" s="20"/>
      <c r="I174" s="21"/>
      <c r="J174" s="20"/>
      <c r="K174" s="20"/>
    </row>
    <row r="175" customFormat="false" ht="15" hidden="false" customHeight="true" outlineLevel="0" collapsed="false">
      <c r="A175" s="19"/>
      <c r="B175" s="20"/>
      <c r="C175" s="20"/>
      <c r="D175" s="20"/>
      <c r="E175" s="20"/>
      <c r="F175" s="20"/>
      <c r="G175" s="20"/>
      <c r="H175" s="20"/>
      <c r="I175" s="21"/>
      <c r="J175" s="20"/>
      <c r="K175" s="20"/>
    </row>
    <row r="176" customFormat="false" ht="15" hidden="false" customHeight="true" outlineLevel="0" collapsed="false">
      <c r="A176" s="19"/>
      <c r="B176" s="20"/>
      <c r="C176" s="20"/>
      <c r="D176" s="20"/>
      <c r="E176" s="20"/>
      <c r="F176" s="20"/>
      <c r="G176" s="20"/>
      <c r="H176" s="20"/>
      <c r="I176" s="21"/>
      <c r="J176" s="20"/>
      <c r="K176" s="20"/>
    </row>
    <row r="177" customFormat="false" ht="15" hidden="false" customHeight="true" outlineLevel="0" collapsed="false">
      <c r="A177" s="19"/>
      <c r="B177" s="20"/>
      <c r="C177" s="20"/>
      <c r="D177" s="20"/>
      <c r="E177" s="20"/>
      <c r="F177" s="20"/>
      <c r="G177" s="20"/>
      <c r="H177" s="20"/>
      <c r="I177" s="21"/>
      <c r="J177" s="20"/>
      <c r="K177" s="20"/>
    </row>
    <row r="178" customFormat="false" ht="15" hidden="false" customHeight="true" outlineLevel="0" collapsed="false">
      <c r="A178" s="19"/>
      <c r="B178" s="20"/>
      <c r="C178" s="20"/>
      <c r="D178" s="20"/>
      <c r="E178" s="20"/>
      <c r="F178" s="20"/>
      <c r="G178" s="20"/>
      <c r="H178" s="20"/>
      <c r="I178" s="21"/>
      <c r="J178" s="20"/>
      <c r="K178" s="20"/>
    </row>
    <row r="179" customFormat="false" ht="15" hidden="false" customHeight="true" outlineLevel="0" collapsed="false">
      <c r="A179" s="19"/>
      <c r="B179" s="20"/>
      <c r="C179" s="20"/>
      <c r="D179" s="20"/>
      <c r="E179" s="20"/>
      <c r="F179" s="20"/>
      <c r="G179" s="20"/>
      <c r="H179" s="20"/>
      <c r="I179" s="21"/>
      <c r="J179" s="20"/>
      <c r="K179" s="20"/>
    </row>
    <row r="180" customFormat="false" ht="15" hidden="false" customHeight="true" outlineLevel="0" collapsed="false">
      <c r="A180" s="19"/>
      <c r="B180" s="20"/>
      <c r="C180" s="20"/>
      <c r="D180" s="20"/>
      <c r="E180" s="20"/>
      <c r="F180" s="20"/>
      <c r="G180" s="20"/>
      <c r="H180" s="20"/>
      <c r="I180" s="21"/>
      <c r="J180" s="20"/>
      <c r="K180" s="20"/>
    </row>
    <row r="181" customFormat="false" ht="15" hidden="false" customHeight="true" outlineLevel="0" collapsed="false">
      <c r="A181" s="19"/>
      <c r="B181" s="20"/>
      <c r="C181" s="20"/>
      <c r="D181" s="20"/>
      <c r="E181" s="20"/>
      <c r="F181" s="20"/>
      <c r="G181" s="20"/>
      <c r="H181" s="20"/>
      <c r="I181" s="21"/>
      <c r="J181" s="20"/>
      <c r="K181" s="20"/>
    </row>
    <row r="182" customFormat="false" ht="15" hidden="false" customHeight="true" outlineLevel="0" collapsed="false">
      <c r="A182" s="19"/>
      <c r="B182" s="20"/>
      <c r="C182" s="20"/>
      <c r="D182" s="20"/>
      <c r="E182" s="20"/>
      <c r="F182" s="20"/>
      <c r="G182" s="20"/>
      <c r="H182" s="20"/>
      <c r="I182" s="21"/>
      <c r="J182" s="20"/>
      <c r="K182" s="20"/>
    </row>
    <row r="183" customFormat="false" ht="15" hidden="false" customHeight="true" outlineLevel="0" collapsed="false">
      <c r="A183" s="19"/>
      <c r="B183" s="20"/>
      <c r="C183" s="20"/>
      <c r="D183" s="20"/>
      <c r="E183" s="20"/>
      <c r="F183" s="20"/>
      <c r="G183" s="20"/>
      <c r="H183" s="20"/>
      <c r="I183" s="21"/>
      <c r="J183" s="20"/>
      <c r="K183" s="20"/>
    </row>
    <row r="184" customFormat="false" ht="15" hidden="false" customHeight="true" outlineLevel="0" collapsed="false">
      <c r="A184" s="19"/>
      <c r="B184" s="20"/>
      <c r="C184" s="20"/>
      <c r="D184" s="20"/>
      <c r="E184" s="20"/>
      <c r="F184" s="20"/>
      <c r="G184" s="20"/>
      <c r="H184" s="20"/>
      <c r="I184" s="21"/>
      <c r="J184" s="20"/>
      <c r="K184" s="20"/>
    </row>
    <row r="185" customFormat="false" ht="15" hidden="false" customHeight="true" outlineLevel="0" collapsed="false">
      <c r="A185" s="19"/>
      <c r="B185" s="20"/>
      <c r="C185" s="20"/>
      <c r="D185" s="20"/>
      <c r="E185" s="20"/>
      <c r="F185" s="20"/>
      <c r="G185" s="20"/>
      <c r="H185" s="20"/>
      <c r="I185" s="21"/>
      <c r="J185" s="20"/>
      <c r="K185" s="20"/>
    </row>
    <row r="186" customFormat="false" ht="15" hidden="false" customHeight="true" outlineLevel="0" collapsed="false">
      <c r="A186" s="19"/>
      <c r="B186" s="20"/>
      <c r="C186" s="20"/>
      <c r="D186" s="20"/>
      <c r="E186" s="20"/>
      <c r="F186" s="20"/>
      <c r="G186" s="20"/>
      <c r="H186" s="20"/>
      <c r="I186" s="21"/>
      <c r="J186" s="20"/>
      <c r="K186" s="20"/>
    </row>
    <row r="187" customFormat="false" ht="15" hidden="false" customHeight="true" outlineLevel="0" collapsed="false">
      <c r="A187" s="19"/>
      <c r="B187" s="20"/>
      <c r="C187" s="20"/>
      <c r="D187" s="20"/>
      <c r="E187" s="20"/>
      <c r="F187" s="20"/>
      <c r="G187" s="20"/>
      <c r="H187" s="20"/>
      <c r="I187" s="21"/>
      <c r="J187" s="20"/>
      <c r="K187" s="20"/>
    </row>
    <row r="188" customFormat="false" ht="15" hidden="false" customHeight="true" outlineLevel="0" collapsed="false">
      <c r="A188" s="19"/>
      <c r="B188" s="20"/>
      <c r="C188" s="20"/>
      <c r="D188" s="20"/>
      <c r="E188" s="20"/>
      <c r="F188" s="20"/>
      <c r="G188" s="20"/>
      <c r="H188" s="20"/>
      <c r="I188" s="21"/>
      <c r="J188" s="20"/>
      <c r="K188" s="20"/>
    </row>
    <row r="189" customFormat="false" ht="15" hidden="false" customHeight="true" outlineLevel="0" collapsed="false">
      <c r="A189" s="19"/>
      <c r="B189" s="20"/>
      <c r="C189" s="20"/>
      <c r="D189" s="20"/>
      <c r="E189" s="20"/>
      <c r="F189" s="20"/>
      <c r="G189" s="20"/>
      <c r="H189" s="20"/>
      <c r="I189" s="21"/>
      <c r="J189" s="20"/>
      <c r="K189" s="20"/>
    </row>
    <row r="190" customFormat="false" ht="15" hidden="false" customHeight="true" outlineLevel="0" collapsed="false">
      <c r="A190" s="19"/>
      <c r="B190" s="20"/>
      <c r="C190" s="20"/>
      <c r="D190" s="20"/>
      <c r="E190" s="20"/>
      <c r="F190" s="20"/>
      <c r="G190" s="20"/>
      <c r="H190" s="20"/>
      <c r="I190" s="21"/>
      <c r="J190" s="20"/>
      <c r="K190" s="20"/>
    </row>
    <row r="191" customFormat="false" ht="15" hidden="false" customHeight="true" outlineLevel="0" collapsed="false">
      <c r="A191" s="19"/>
      <c r="B191" s="20"/>
      <c r="C191" s="20"/>
      <c r="D191" s="20"/>
      <c r="E191" s="20"/>
      <c r="F191" s="20"/>
      <c r="G191" s="20"/>
      <c r="H191" s="20"/>
      <c r="I191" s="21"/>
      <c r="J191" s="20"/>
      <c r="K191" s="20"/>
    </row>
    <row r="192" customFormat="false" ht="15" hidden="false" customHeight="true" outlineLevel="0" collapsed="false">
      <c r="A192" s="19"/>
      <c r="B192" s="20"/>
      <c r="C192" s="20"/>
      <c r="D192" s="20"/>
      <c r="E192" s="20"/>
      <c r="F192" s="20"/>
      <c r="G192" s="20"/>
      <c r="H192" s="20"/>
      <c r="I192" s="21"/>
      <c r="J192" s="20"/>
      <c r="K192" s="20"/>
    </row>
    <row r="193" customFormat="false" ht="15" hidden="false" customHeight="true" outlineLevel="0" collapsed="false">
      <c r="A193" s="19"/>
      <c r="B193" s="20"/>
      <c r="C193" s="20"/>
      <c r="D193" s="20"/>
      <c r="E193" s="20"/>
      <c r="F193" s="20"/>
      <c r="G193" s="20"/>
      <c r="H193" s="20"/>
      <c r="I193" s="21"/>
      <c r="J193" s="20"/>
      <c r="K193" s="20"/>
    </row>
    <row r="194" customFormat="false" ht="15" hidden="false" customHeight="true" outlineLevel="0" collapsed="false">
      <c r="A194" s="19"/>
      <c r="B194" s="20"/>
      <c r="C194" s="20"/>
      <c r="D194" s="20"/>
      <c r="E194" s="20"/>
      <c r="F194" s="20"/>
      <c r="G194" s="20"/>
      <c r="H194" s="20"/>
      <c r="I194" s="21"/>
      <c r="J194" s="20"/>
      <c r="K194" s="20"/>
    </row>
    <row r="195" customFormat="false" ht="15" hidden="false" customHeight="true" outlineLevel="0" collapsed="false">
      <c r="A195" s="19"/>
      <c r="B195" s="20"/>
      <c r="C195" s="20"/>
      <c r="D195" s="20"/>
      <c r="E195" s="20"/>
      <c r="F195" s="20"/>
      <c r="G195" s="20"/>
      <c r="H195" s="20"/>
      <c r="I195" s="21"/>
      <c r="J195" s="20"/>
      <c r="K195" s="20"/>
    </row>
    <row r="196" customFormat="false" ht="15" hidden="false" customHeight="true" outlineLevel="0" collapsed="false">
      <c r="A196" s="19"/>
      <c r="B196" s="20"/>
      <c r="C196" s="20"/>
      <c r="D196" s="20"/>
      <c r="E196" s="20"/>
      <c r="F196" s="20"/>
      <c r="G196" s="20"/>
      <c r="H196" s="20"/>
      <c r="I196" s="21"/>
      <c r="J196" s="20"/>
      <c r="K196" s="20"/>
    </row>
    <row r="197" customFormat="false" ht="15" hidden="false" customHeight="true" outlineLevel="0" collapsed="false">
      <c r="A197" s="19"/>
      <c r="B197" s="20"/>
      <c r="C197" s="20"/>
      <c r="D197" s="20"/>
      <c r="E197" s="20"/>
      <c r="F197" s="20"/>
      <c r="G197" s="20"/>
      <c r="H197" s="20"/>
      <c r="I197" s="21"/>
      <c r="J197" s="20"/>
      <c r="K197" s="20"/>
    </row>
    <row r="198" customFormat="false" ht="15" hidden="false" customHeight="true" outlineLevel="0" collapsed="false">
      <c r="A198" s="19"/>
      <c r="B198" s="20"/>
      <c r="C198" s="20"/>
      <c r="D198" s="20"/>
      <c r="E198" s="20"/>
      <c r="F198" s="20"/>
      <c r="G198" s="20"/>
      <c r="H198" s="20"/>
      <c r="I198" s="21"/>
      <c r="J198" s="20"/>
      <c r="K198" s="20"/>
    </row>
    <row r="199" customFormat="false" ht="15" hidden="false" customHeight="true" outlineLevel="0" collapsed="false">
      <c r="A199" s="19"/>
      <c r="B199" s="20"/>
      <c r="C199" s="20"/>
      <c r="D199" s="20"/>
      <c r="E199" s="20"/>
      <c r="F199" s="20"/>
      <c r="G199" s="20"/>
      <c r="H199" s="20"/>
      <c r="I199" s="21"/>
      <c r="J199" s="20"/>
      <c r="K199" s="20"/>
    </row>
    <row r="200" customFormat="false" ht="15" hidden="false" customHeight="true" outlineLevel="0" collapsed="false">
      <c r="A200" s="19"/>
      <c r="B200" s="20"/>
      <c r="C200" s="20"/>
      <c r="D200" s="20"/>
      <c r="E200" s="20"/>
      <c r="F200" s="20"/>
      <c r="G200" s="20"/>
      <c r="H200" s="20"/>
      <c r="I200" s="21"/>
      <c r="J200" s="20"/>
      <c r="K200" s="20"/>
    </row>
    <row r="201" customFormat="false" ht="15" hidden="false" customHeight="true" outlineLevel="0" collapsed="false">
      <c r="A201" s="19"/>
      <c r="B201" s="20"/>
      <c r="C201" s="20"/>
      <c r="D201" s="20"/>
      <c r="E201" s="20"/>
      <c r="F201" s="20"/>
      <c r="G201" s="20"/>
      <c r="H201" s="20"/>
      <c r="I201" s="21"/>
      <c r="J201" s="20"/>
      <c r="K201" s="20"/>
    </row>
    <row r="202" customFormat="false" ht="15" hidden="false" customHeight="true" outlineLevel="0" collapsed="false">
      <c r="A202" s="19"/>
      <c r="B202" s="20"/>
      <c r="C202" s="20"/>
      <c r="D202" s="20"/>
      <c r="E202" s="20"/>
      <c r="F202" s="20"/>
      <c r="G202" s="20"/>
      <c r="H202" s="20"/>
      <c r="I202" s="21"/>
      <c r="J202" s="20"/>
      <c r="K202" s="20"/>
    </row>
    <row r="203" customFormat="false" ht="15" hidden="false" customHeight="true" outlineLevel="0" collapsed="false">
      <c r="A203" s="19"/>
      <c r="B203" s="20"/>
      <c r="C203" s="20"/>
      <c r="D203" s="20"/>
      <c r="E203" s="20"/>
      <c r="F203" s="20"/>
      <c r="G203" s="20"/>
      <c r="H203" s="20"/>
      <c r="I203" s="21"/>
      <c r="J203" s="20"/>
      <c r="K203" s="20"/>
    </row>
    <row r="204" customFormat="false" ht="15" hidden="false" customHeight="true" outlineLevel="0" collapsed="false">
      <c r="A204" s="19"/>
      <c r="B204" s="20"/>
      <c r="C204" s="20"/>
      <c r="D204" s="20"/>
      <c r="E204" s="20"/>
      <c r="F204" s="20"/>
      <c r="G204" s="20"/>
      <c r="H204" s="20"/>
      <c r="I204" s="21"/>
      <c r="J204" s="20"/>
      <c r="K204" s="20"/>
    </row>
    <row r="205" customFormat="false" ht="15" hidden="false" customHeight="true" outlineLevel="0" collapsed="false">
      <c r="A205" s="19"/>
      <c r="B205" s="20"/>
      <c r="C205" s="20"/>
      <c r="D205" s="20"/>
      <c r="E205" s="20"/>
      <c r="F205" s="20"/>
      <c r="G205" s="20"/>
      <c r="H205" s="20"/>
      <c r="I205" s="21"/>
      <c r="J205" s="20"/>
      <c r="K205" s="20"/>
    </row>
    <row r="206" customFormat="false" ht="15" hidden="false" customHeight="true" outlineLevel="0" collapsed="false">
      <c r="A206" s="19"/>
      <c r="B206" s="20"/>
      <c r="C206" s="20"/>
      <c r="D206" s="20"/>
      <c r="E206" s="20"/>
      <c r="F206" s="20"/>
      <c r="G206" s="20"/>
      <c r="H206" s="20"/>
      <c r="I206" s="21"/>
      <c r="J206" s="20"/>
      <c r="K206" s="20"/>
    </row>
    <row r="207" customFormat="false" ht="15" hidden="false" customHeight="true" outlineLevel="0" collapsed="false">
      <c r="A207" s="19"/>
      <c r="B207" s="20"/>
      <c r="C207" s="20"/>
      <c r="D207" s="20"/>
      <c r="E207" s="20"/>
      <c r="F207" s="20"/>
      <c r="G207" s="20"/>
      <c r="H207" s="20"/>
      <c r="I207" s="21"/>
      <c r="J207" s="20"/>
      <c r="K207" s="20"/>
    </row>
    <row r="208" customFormat="false" ht="15" hidden="false" customHeight="true" outlineLevel="0" collapsed="false">
      <c r="A208" s="19"/>
      <c r="B208" s="20"/>
      <c r="C208" s="20"/>
      <c r="D208" s="20"/>
      <c r="E208" s="20"/>
      <c r="F208" s="20"/>
      <c r="G208" s="20"/>
      <c r="H208" s="20"/>
      <c r="I208" s="21"/>
      <c r="J208" s="20"/>
      <c r="K208" s="20"/>
    </row>
    <row r="209" customFormat="false" ht="15" hidden="false" customHeight="true" outlineLevel="0" collapsed="false">
      <c r="A209" s="19"/>
      <c r="B209" s="20"/>
      <c r="C209" s="20"/>
      <c r="D209" s="20"/>
      <c r="E209" s="20"/>
      <c r="F209" s="20"/>
      <c r="G209" s="20"/>
      <c r="H209" s="20"/>
      <c r="I209" s="21"/>
      <c r="J209" s="20"/>
      <c r="K209" s="20"/>
    </row>
    <row r="210" customFormat="false" ht="15" hidden="false" customHeight="true" outlineLevel="0" collapsed="false">
      <c r="A210" s="19"/>
      <c r="B210" s="20"/>
      <c r="C210" s="20"/>
      <c r="D210" s="20"/>
      <c r="E210" s="20"/>
      <c r="F210" s="20"/>
      <c r="G210" s="20"/>
      <c r="H210" s="20"/>
      <c r="I210" s="21"/>
      <c r="J210" s="20"/>
      <c r="K210" s="20"/>
    </row>
    <row r="211" customFormat="false" ht="15" hidden="false" customHeight="true" outlineLevel="0" collapsed="false">
      <c r="A211" s="19"/>
      <c r="B211" s="20"/>
      <c r="C211" s="20"/>
      <c r="D211" s="20"/>
      <c r="E211" s="20"/>
      <c r="F211" s="20"/>
      <c r="G211" s="20"/>
      <c r="H211" s="20"/>
      <c r="I211" s="21"/>
      <c r="J211" s="20"/>
      <c r="K211" s="20"/>
    </row>
    <row r="212" customFormat="false" ht="15" hidden="false" customHeight="true" outlineLevel="0" collapsed="false">
      <c r="A212" s="19"/>
      <c r="B212" s="20"/>
      <c r="C212" s="20"/>
      <c r="D212" s="20"/>
      <c r="E212" s="20"/>
      <c r="F212" s="20"/>
      <c r="G212" s="20"/>
      <c r="H212" s="20"/>
      <c r="I212" s="21"/>
      <c r="J212" s="20"/>
      <c r="K212" s="20"/>
    </row>
    <row r="213" customFormat="false" ht="15" hidden="false" customHeight="true" outlineLevel="0" collapsed="false">
      <c r="A213" s="19"/>
      <c r="B213" s="20"/>
      <c r="C213" s="20"/>
      <c r="D213" s="20"/>
      <c r="E213" s="20"/>
      <c r="F213" s="20"/>
      <c r="G213" s="20"/>
      <c r="H213" s="20"/>
      <c r="I213" s="21"/>
      <c r="J213" s="20"/>
      <c r="K213" s="20"/>
    </row>
    <row r="214" customFormat="false" ht="15" hidden="false" customHeight="true" outlineLevel="0" collapsed="false">
      <c r="A214" s="19"/>
      <c r="B214" s="20"/>
      <c r="C214" s="20"/>
      <c r="D214" s="20"/>
      <c r="E214" s="20"/>
      <c r="F214" s="20"/>
      <c r="G214" s="20"/>
      <c r="H214" s="20"/>
      <c r="I214" s="21"/>
      <c r="J214" s="20"/>
      <c r="K214" s="20"/>
    </row>
    <row r="215" customFormat="false" ht="15" hidden="false" customHeight="true" outlineLevel="0" collapsed="false">
      <c r="A215" s="19"/>
      <c r="B215" s="20"/>
      <c r="C215" s="20"/>
      <c r="D215" s="20"/>
      <c r="E215" s="20"/>
      <c r="F215" s="20"/>
      <c r="G215" s="20"/>
      <c r="H215" s="20"/>
      <c r="I215" s="21"/>
      <c r="J215" s="20"/>
      <c r="K215" s="20"/>
    </row>
    <row r="216" customFormat="false" ht="15" hidden="false" customHeight="true" outlineLevel="0" collapsed="false">
      <c r="A216" s="19"/>
      <c r="B216" s="20"/>
      <c r="C216" s="20"/>
      <c r="D216" s="20"/>
      <c r="E216" s="20"/>
      <c r="F216" s="20"/>
      <c r="G216" s="20"/>
      <c r="H216" s="20"/>
      <c r="I216" s="21"/>
      <c r="J216" s="20"/>
      <c r="K216" s="20"/>
    </row>
    <row r="217" customFormat="false" ht="15" hidden="false" customHeight="true" outlineLevel="0" collapsed="false">
      <c r="A217" s="19"/>
      <c r="B217" s="20"/>
      <c r="C217" s="20"/>
      <c r="D217" s="20"/>
      <c r="E217" s="20"/>
      <c r="F217" s="20"/>
      <c r="G217" s="20"/>
      <c r="H217" s="20"/>
      <c r="I217" s="21"/>
      <c r="J217" s="20"/>
      <c r="K217" s="20"/>
    </row>
    <row r="218" customFormat="false" ht="15" hidden="false" customHeight="true" outlineLevel="0" collapsed="false">
      <c r="A218" s="19"/>
      <c r="B218" s="20"/>
      <c r="C218" s="20"/>
      <c r="D218" s="20"/>
      <c r="E218" s="20"/>
      <c r="F218" s="20"/>
      <c r="G218" s="20"/>
      <c r="H218" s="20"/>
      <c r="I218" s="21"/>
      <c r="J218" s="20"/>
      <c r="K218" s="20"/>
    </row>
    <row r="219" customFormat="false" ht="15" hidden="false" customHeight="true" outlineLevel="0" collapsed="false">
      <c r="A219" s="19"/>
      <c r="B219" s="20"/>
      <c r="C219" s="20"/>
      <c r="D219" s="20"/>
      <c r="E219" s="20"/>
      <c r="F219" s="20"/>
      <c r="G219" s="20"/>
      <c r="H219" s="20"/>
      <c r="I219" s="21"/>
      <c r="J219" s="20"/>
      <c r="K219" s="20"/>
    </row>
    <row r="220" customFormat="false" ht="15" hidden="false" customHeight="true" outlineLevel="0" collapsed="false">
      <c r="A220" s="19"/>
      <c r="B220" s="20"/>
      <c r="C220" s="20"/>
      <c r="D220" s="20"/>
      <c r="E220" s="20"/>
      <c r="F220" s="20"/>
      <c r="G220" s="20"/>
      <c r="H220" s="20"/>
      <c r="I220" s="21"/>
      <c r="J220" s="20"/>
      <c r="K220" s="20"/>
    </row>
    <row r="221" customFormat="false" ht="15" hidden="false" customHeight="true" outlineLevel="0" collapsed="false">
      <c r="A221" s="19"/>
      <c r="B221" s="20"/>
      <c r="C221" s="20"/>
      <c r="D221" s="20"/>
      <c r="E221" s="20"/>
      <c r="F221" s="20"/>
      <c r="G221" s="20"/>
      <c r="H221" s="20"/>
      <c r="I221" s="21"/>
      <c r="J221" s="20"/>
      <c r="K221" s="20"/>
    </row>
    <row r="222" customFormat="false" ht="15" hidden="false" customHeight="true" outlineLevel="0" collapsed="false">
      <c r="A222" s="19"/>
      <c r="B222" s="20"/>
      <c r="C222" s="20"/>
      <c r="D222" s="20"/>
      <c r="E222" s="20"/>
      <c r="F222" s="20"/>
      <c r="G222" s="20"/>
      <c r="H222" s="20"/>
      <c r="I222" s="21"/>
      <c r="J222" s="20"/>
      <c r="K222" s="20"/>
    </row>
    <row r="223" customFormat="false" ht="15" hidden="false" customHeight="true" outlineLevel="0" collapsed="false">
      <c r="A223" s="19"/>
      <c r="B223" s="20"/>
      <c r="C223" s="20"/>
      <c r="D223" s="20"/>
      <c r="E223" s="20"/>
      <c r="F223" s="20"/>
      <c r="G223" s="20"/>
      <c r="H223" s="20"/>
      <c r="I223" s="21"/>
      <c r="J223" s="20"/>
      <c r="K223" s="20"/>
    </row>
    <row r="224" customFormat="false" ht="15" hidden="false" customHeight="true" outlineLevel="0" collapsed="false">
      <c r="A224" s="19"/>
      <c r="B224" s="20"/>
      <c r="C224" s="20"/>
      <c r="D224" s="20"/>
      <c r="E224" s="20"/>
      <c r="F224" s="20"/>
      <c r="G224" s="20"/>
      <c r="H224" s="20"/>
      <c r="I224" s="21"/>
      <c r="J224" s="20"/>
      <c r="K224" s="20"/>
    </row>
    <row r="225" customFormat="false" ht="15" hidden="false" customHeight="true" outlineLevel="0" collapsed="false">
      <c r="A225" s="19"/>
      <c r="B225" s="20"/>
      <c r="C225" s="20"/>
      <c r="D225" s="20"/>
      <c r="E225" s="20"/>
      <c r="F225" s="20"/>
      <c r="G225" s="20"/>
      <c r="H225" s="20"/>
      <c r="I225" s="21"/>
      <c r="J225" s="20"/>
      <c r="K225" s="20"/>
    </row>
    <row r="226" customFormat="false" ht="15" hidden="false" customHeight="true" outlineLevel="0" collapsed="false">
      <c r="A226" s="19"/>
      <c r="B226" s="20"/>
      <c r="C226" s="20"/>
      <c r="D226" s="20"/>
      <c r="E226" s="20"/>
      <c r="F226" s="20"/>
      <c r="G226" s="20"/>
      <c r="H226" s="20"/>
      <c r="I226" s="21"/>
      <c r="J226" s="20"/>
      <c r="K226" s="20"/>
    </row>
    <row r="227" customFormat="false" ht="15" hidden="false" customHeight="true" outlineLevel="0" collapsed="false">
      <c r="A227" s="19"/>
      <c r="B227" s="20"/>
      <c r="C227" s="20"/>
      <c r="D227" s="20"/>
      <c r="E227" s="20"/>
      <c r="F227" s="20"/>
      <c r="G227" s="20"/>
      <c r="H227" s="20"/>
      <c r="I227" s="21"/>
      <c r="J227" s="20"/>
      <c r="K227" s="20"/>
    </row>
    <row r="228" customFormat="false" ht="15" hidden="false" customHeight="true" outlineLevel="0" collapsed="false">
      <c r="A228" s="19"/>
      <c r="B228" s="20"/>
      <c r="C228" s="20"/>
      <c r="D228" s="20"/>
      <c r="E228" s="20"/>
      <c r="F228" s="20"/>
      <c r="G228" s="20"/>
      <c r="H228" s="20"/>
      <c r="I228" s="21"/>
      <c r="J228" s="20"/>
      <c r="K228" s="20"/>
    </row>
    <row r="229" customFormat="false" ht="15" hidden="false" customHeight="true" outlineLevel="0" collapsed="false">
      <c r="A229" s="19"/>
      <c r="B229" s="20"/>
      <c r="C229" s="20"/>
      <c r="D229" s="20"/>
      <c r="E229" s="20"/>
      <c r="F229" s="20"/>
      <c r="G229" s="20"/>
      <c r="H229" s="20"/>
      <c r="I229" s="21"/>
      <c r="J229" s="20"/>
      <c r="K229" s="20"/>
    </row>
    <row r="230" customFormat="false" ht="15" hidden="false" customHeight="true" outlineLevel="0" collapsed="false">
      <c r="A230" s="19"/>
      <c r="B230" s="20"/>
      <c r="C230" s="20"/>
      <c r="D230" s="20"/>
      <c r="E230" s="20"/>
      <c r="F230" s="20"/>
      <c r="G230" s="20"/>
      <c r="H230" s="20"/>
      <c r="I230" s="21"/>
      <c r="J230" s="20"/>
      <c r="K230" s="20"/>
    </row>
    <row r="231" customFormat="false" ht="15" hidden="false" customHeight="true" outlineLevel="0" collapsed="false">
      <c r="A231" s="19"/>
      <c r="B231" s="20"/>
      <c r="C231" s="20"/>
      <c r="D231" s="20"/>
      <c r="E231" s="20"/>
      <c r="F231" s="20"/>
      <c r="G231" s="20"/>
      <c r="H231" s="20"/>
      <c r="I231" s="21"/>
      <c r="J231" s="20"/>
      <c r="K231" s="20"/>
    </row>
    <row r="232" customFormat="false" ht="15" hidden="false" customHeight="true" outlineLevel="0" collapsed="false">
      <c r="A232" s="19"/>
      <c r="B232" s="20"/>
      <c r="C232" s="20"/>
      <c r="D232" s="20"/>
      <c r="E232" s="20"/>
      <c r="F232" s="20"/>
      <c r="G232" s="20"/>
      <c r="H232" s="20"/>
      <c r="I232" s="21"/>
      <c r="J232" s="20"/>
      <c r="K232" s="20"/>
    </row>
    <row r="233" customFormat="false" ht="15" hidden="false" customHeight="true" outlineLevel="0" collapsed="false">
      <c r="A233" s="19"/>
      <c r="B233" s="20"/>
      <c r="C233" s="20"/>
      <c r="D233" s="20"/>
      <c r="E233" s="20"/>
      <c r="F233" s="20"/>
      <c r="G233" s="20"/>
      <c r="H233" s="20"/>
      <c r="I233" s="21"/>
      <c r="J233" s="20"/>
      <c r="K233" s="20"/>
    </row>
    <row r="234" customFormat="false" ht="15" hidden="false" customHeight="true" outlineLevel="0" collapsed="false">
      <c r="A234" s="19"/>
      <c r="B234" s="20"/>
      <c r="C234" s="20"/>
      <c r="D234" s="20"/>
      <c r="E234" s="20"/>
      <c r="F234" s="20"/>
      <c r="G234" s="20"/>
      <c r="H234" s="20"/>
      <c r="I234" s="21"/>
      <c r="J234" s="20"/>
      <c r="K234" s="20"/>
    </row>
    <row r="235" customFormat="false" ht="15" hidden="false" customHeight="true" outlineLevel="0" collapsed="false">
      <c r="A235" s="19"/>
      <c r="B235" s="20"/>
      <c r="C235" s="20"/>
      <c r="D235" s="20"/>
      <c r="E235" s="20"/>
      <c r="F235" s="20"/>
      <c r="G235" s="20"/>
      <c r="H235" s="20"/>
      <c r="I235" s="21"/>
      <c r="J235" s="20"/>
      <c r="K235" s="20"/>
    </row>
    <row r="236" customFormat="false" ht="15" hidden="false" customHeight="true" outlineLevel="0" collapsed="false">
      <c r="A236" s="19"/>
      <c r="B236" s="20"/>
      <c r="C236" s="20"/>
      <c r="D236" s="20"/>
      <c r="E236" s="20"/>
      <c r="F236" s="20"/>
      <c r="G236" s="20"/>
      <c r="H236" s="20"/>
      <c r="I236" s="21"/>
      <c r="J236" s="20"/>
      <c r="K236" s="20"/>
    </row>
    <row r="237" customFormat="false" ht="15" hidden="false" customHeight="true" outlineLevel="0" collapsed="false">
      <c r="A237" s="19"/>
      <c r="B237" s="20"/>
      <c r="C237" s="20"/>
      <c r="D237" s="20"/>
      <c r="E237" s="20"/>
      <c r="F237" s="20"/>
      <c r="G237" s="20"/>
      <c r="H237" s="20"/>
      <c r="I237" s="21"/>
      <c r="J237" s="20"/>
      <c r="K237" s="20"/>
    </row>
    <row r="238" customFormat="false" ht="15" hidden="false" customHeight="true" outlineLevel="0" collapsed="false">
      <c r="A238" s="19"/>
      <c r="B238" s="20"/>
      <c r="C238" s="20"/>
      <c r="D238" s="20"/>
      <c r="E238" s="20"/>
      <c r="F238" s="20"/>
      <c r="G238" s="20"/>
      <c r="H238" s="20"/>
      <c r="I238" s="21"/>
      <c r="J238" s="20"/>
      <c r="K238" s="20"/>
    </row>
    <row r="239" customFormat="false" ht="15" hidden="false" customHeight="true" outlineLevel="0" collapsed="false">
      <c r="A239" s="19"/>
      <c r="B239" s="20"/>
      <c r="C239" s="20"/>
      <c r="D239" s="20"/>
      <c r="E239" s="20"/>
      <c r="F239" s="20"/>
      <c r="G239" s="20"/>
      <c r="H239" s="20"/>
      <c r="I239" s="21"/>
      <c r="J239" s="20"/>
      <c r="K239" s="20"/>
    </row>
    <row r="240" customFormat="false" ht="15" hidden="false" customHeight="true" outlineLevel="0" collapsed="false">
      <c r="A240" s="19"/>
      <c r="B240" s="20"/>
      <c r="C240" s="20"/>
      <c r="D240" s="20"/>
      <c r="E240" s="20"/>
      <c r="F240" s="20"/>
      <c r="G240" s="20"/>
      <c r="H240" s="20"/>
      <c r="I240" s="21"/>
      <c r="J240" s="20"/>
      <c r="K240" s="20"/>
    </row>
    <row r="241" customFormat="false" ht="15" hidden="false" customHeight="true" outlineLevel="0" collapsed="false">
      <c r="A241" s="19"/>
      <c r="B241" s="20"/>
      <c r="C241" s="20"/>
      <c r="D241" s="20"/>
      <c r="E241" s="20"/>
      <c r="F241" s="20"/>
      <c r="G241" s="20"/>
      <c r="H241" s="20"/>
      <c r="I241" s="21"/>
      <c r="J241" s="20"/>
      <c r="K241" s="20"/>
    </row>
    <row r="242" customFormat="false" ht="15" hidden="false" customHeight="true" outlineLevel="0" collapsed="false">
      <c r="A242" s="19"/>
      <c r="B242" s="20"/>
      <c r="C242" s="20"/>
      <c r="D242" s="20"/>
      <c r="E242" s="20"/>
      <c r="F242" s="20"/>
      <c r="G242" s="20"/>
      <c r="H242" s="20"/>
      <c r="I242" s="21"/>
      <c r="J242" s="20"/>
      <c r="K242" s="20"/>
    </row>
    <row r="243" customFormat="false" ht="15" hidden="false" customHeight="true" outlineLevel="0" collapsed="false">
      <c r="A243" s="19"/>
      <c r="B243" s="20"/>
      <c r="C243" s="20"/>
      <c r="D243" s="20"/>
      <c r="E243" s="20"/>
      <c r="F243" s="20"/>
      <c r="G243" s="20"/>
      <c r="H243" s="20"/>
      <c r="I243" s="21"/>
      <c r="J243" s="20"/>
      <c r="K243" s="20"/>
    </row>
    <row r="244" customFormat="false" ht="15" hidden="false" customHeight="true" outlineLevel="0" collapsed="false">
      <c r="A244" s="19"/>
      <c r="B244" s="20"/>
      <c r="C244" s="20"/>
      <c r="D244" s="20"/>
      <c r="E244" s="20"/>
      <c r="F244" s="20"/>
      <c r="G244" s="20"/>
      <c r="H244" s="20"/>
      <c r="I244" s="21"/>
      <c r="J244" s="20"/>
      <c r="K244" s="20"/>
    </row>
    <row r="245" customFormat="false" ht="15" hidden="false" customHeight="true" outlineLevel="0" collapsed="false">
      <c r="A245" s="19"/>
      <c r="B245" s="20"/>
      <c r="C245" s="20"/>
      <c r="D245" s="20"/>
      <c r="E245" s="20"/>
      <c r="F245" s="20"/>
      <c r="G245" s="20"/>
      <c r="H245" s="20"/>
      <c r="I245" s="21"/>
      <c r="J245" s="20"/>
      <c r="K245" s="20"/>
    </row>
    <row r="246" customFormat="false" ht="15" hidden="false" customHeight="true" outlineLevel="0" collapsed="false">
      <c r="A246" s="19"/>
      <c r="B246" s="20"/>
      <c r="C246" s="20"/>
      <c r="D246" s="20"/>
      <c r="E246" s="20"/>
      <c r="F246" s="20"/>
      <c r="G246" s="20"/>
      <c r="H246" s="20"/>
      <c r="I246" s="21"/>
      <c r="J246" s="20"/>
      <c r="K246" s="20"/>
    </row>
    <row r="247" customFormat="false" ht="15" hidden="false" customHeight="true" outlineLevel="0" collapsed="false">
      <c r="A247" s="19"/>
      <c r="B247" s="20"/>
      <c r="C247" s="20"/>
      <c r="D247" s="20"/>
      <c r="E247" s="20"/>
      <c r="F247" s="20"/>
      <c r="G247" s="20"/>
      <c r="H247" s="20"/>
      <c r="I247" s="21"/>
      <c r="J247" s="20"/>
      <c r="K247" s="20"/>
    </row>
    <row r="248" customFormat="false" ht="15" hidden="false" customHeight="true" outlineLevel="0" collapsed="false">
      <c r="A248" s="19"/>
      <c r="B248" s="20"/>
      <c r="C248" s="20"/>
      <c r="D248" s="20"/>
      <c r="E248" s="20"/>
      <c r="F248" s="20"/>
      <c r="G248" s="20"/>
      <c r="H248" s="20"/>
      <c r="I248" s="21"/>
      <c r="J248" s="20"/>
      <c r="K248" s="20"/>
    </row>
    <row r="249" customFormat="false" ht="15" hidden="false" customHeight="true" outlineLevel="0" collapsed="false">
      <c r="A249" s="19"/>
      <c r="B249" s="20"/>
      <c r="C249" s="20"/>
      <c r="D249" s="20"/>
      <c r="E249" s="20"/>
      <c r="F249" s="20"/>
      <c r="G249" s="20"/>
      <c r="H249" s="20"/>
      <c r="I249" s="21"/>
      <c r="J249" s="20"/>
      <c r="K249" s="20"/>
    </row>
    <row r="250" customFormat="false" ht="15" hidden="false" customHeight="true" outlineLevel="0" collapsed="false">
      <c r="A250" s="19"/>
      <c r="B250" s="20"/>
      <c r="C250" s="20"/>
      <c r="D250" s="20"/>
      <c r="E250" s="20"/>
      <c r="F250" s="20"/>
      <c r="G250" s="20"/>
      <c r="H250" s="20"/>
      <c r="I250" s="21"/>
      <c r="J250" s="20"/>
      <c r="K250" s="20"/>
    </row>
    <row r="251" customFormat="false" ht="15" hidden="false" customHeight="true" outlineLevel="0" collapsed="false">
      <c r="A251" s="19"/>
      <c r="B251" s="20"/>
      <c r="C251" s="20"/>
      <c r="D251" s="20"/>
      <c r="E251" s="20"/>
      <c r="F251" s="20"/>
      <c r="G251" s="20"/>
      <c r="H251" s="20"/>
      <c r="I251" s="21"/>
      <c r="J251" s="20"/>
      <c r="K251" s="20"/>
    </row>
    <row r="252" customFormat="false" ht="15" hidden="false" customHeight="true" outlineLevel="0" collapsed="false">
      <c r="A252" s="19"/>
      <c r="B252" s="20"/>
      <c r="C252" s="20"/>
      <c r="D252" s="20"/>
      <c r="E252" s="20"/>
      <c r="F252" s="20"/>
      <c r="G252" s="20"/>
      <c r="H252" s="20"/>
      <c r="I252" s="21"/>
      <c r="J252" s="20"/>
      <c r="K252" s="20"/>
    </row>
    <row r="253" customFormat="false" ht="15" hidden="false" customHeight="true" outlineLevel="0" collapsed="false">
      <c r="A253" s="19"/>
      <c r="B253" s="20"/>
      <c r="C253" s="20"/>
      <c r="D253" s="20"/>
      <c r="E253" s="20"/>
      <c r="F253" s="20"/>
      <c r="G253" s="20"/>
      <c r="H253" s="20"/>
      <c r="I253" s="21"/>
      <c r="J253" s="20"/>
      <c r="K253" s="20"/>
    </row>
    <row r="254" customFormat="false" ht="15" hidden="false" customHeight="true" outlineLevel="0" collapsed="false">
      <c r="A254" s="19"/>
      <c r="B254" s="20"/>
      <c r="C254" s="20"/>
      <c r="D254" s="20"/>
      <c r="E254" s="20"/>
      <c r="F254" s="20"/>
      <c r="G254" s="20"/>
      <c r="H254" s="20"/>
      <c r="I254" s="21"/>
      <c r="J254" s="20"/>
      <c r="K254" s="20"/>
    </row>
    <row r="255" customFormat="false" ht="15" hidden="false" customHeight="true" outlineLevel="0" collapsed="false">
      <c r="A255" s="19"/>
      <c r="B255" s="20"/>
      <c r="C255" s="20"/>
      <c r="D255" s="20"/>
      <c r="E255" s="20"/>
      <c r="F255" s="20"/>
      <c r="G255" s="20"/>
      <c r="H255" s="20"/>
      <c r="I255" s="21"/>
      <c r="J255" s="20"/>
      <c r="K255" s="20"/>
    </row>
    <row r="256" customFormat="false" ht="15" hidden="false" customHeight="true" outlineLevel="0" collapsed="false">
      <c r="A256" s="19"/>
      <c r="B256" s="20"/>
      <c r="C256" s="20"/>
      <c r="D256" s="20"/>
      <c r="E256" s="20"/>
      <c r="F256" s="20"/>
      <c r="G256" s="20"/>
      <c r="H256" s="20"/>
      <c r="I256" s="21"/>
      <c r="J256" s="20"/>
      <c r="K256" s="20"/>
    </row>
    <row r="257" customFormat="false" ht="15" hidden="false" customHeight="true" outlineLevel="0" collapsed="false">
      <c r="A257" s="19"/>
      <c r="B257" s="20"/>
      <c r="C257" s="20"/>
      <c r="D257" s="20"/>
      <c r="E257" s="20"/>
      <c r="F257" s="20"/>
      <c r="G257" s="20"/>
      <c r="H257" s="20"/>
      <c r="I257" s="21"/>
      <c r="J257" s="20"/>
      <c r="K257" s="20"/>
    </row>
    <row r="258" customFormat="false" ht="15" hidden="false" customHeight="true" outlineLevel="0" collapsed="false">
      <c r="A258" s="19"/>
      <c r="B258" s="20"/>
      <c r="C258" s="20"/>
      <c r="D258" s="20"/>
      <c r="E258" s="20"/>
      <c r="F258" s="20"/>
      <c r="G258" s="20"/>
      <c r="H258" s="20"/>
      <c r="I258" s="21"/>
      <c r="J258" s="20"/>
      <c r="K258" s="20"/>
    </row>
    <row r="259" customFormat="false" ht="15" hidden="false" customHeight="true" outlineLevel="0" collapsed="false">
      <c r="A259" s="19"/>
      <c r="B259" s="20"/>
      <c r="C259" s="20"/>
      <c r="D259" s="20"/>
      <c r="E259" s="20"/>
      <c r="F259" s="20"/>
      <c r="G259" s="20"/>
      <c r="H259" s="20"/>
      <c r="I259" s="21"/>
      <c r="J259" s="20"/>
      <c r="K259" s="20"/>
    </row>
    <row r="260" customFormat="false" ht="15" hidden="false" customHeight="true" outlineLevel="0" collapsed="false">
      <c r="A260" s="19"/>
      <c r="B260" s="20"/>
      <c r="C260" s="20"/>
      <c r="D260" s="20"/>
      <c r="E260" s="20"/>
      <c r="F260" s="20"/>
      <c r="G260" s="20"/>
      <c r="H260" s="20"/>
      <c r="I260" s="21"/>
      <c r="J260" s="20"/>
      <c r="K260" s="20"/>
    </row>
    <row r="261" customFormat="false" ht="15" hidden="false" customHeight="true" outlineLevel="0" collapsed="false">
      <c r="A261" s="19"/>
      <c r="B261" s="20"/>
      <c r="C261" s="20"/>
      <c r="D261" s="20"/>
      <c r="E261" s="20"/>
      <c r="F261" s="20"/>
      <c r="G261" s="20"/>
      <c r="H261" s="20"/>
      <c r="I261" s="21"/>
      <c r="J261" s="20"/>
      <c r="K261" s="20"/>
    </row>
    <row r="262" customFormat="false" ht="15" hidden="false" customHeight="true" outlineLevel="0" collapsed="false">
      <c r="A262" s="19"/>
      <c r="B262" s="20"/>
      <c r="C262" s="20"/>
      <c r="D262" s="20"/>
      <c r="E262" s="20"/>
      <c r="F262" s="20"/>
      <c r="G262" s="20"/>
      <c r="H262" s="20"/>
      <c r="I262" s="21"/>
      <c r="J262" s="20"/>
      <c r="K262" s="20"/>
    </row>
    <row r="263" customFormat="false" ht="15" hidden="false" customHeight="true" outlineLevel="0" collapsed="false">
      <c r="A263" s="19"/>
      <c r="B263" s="20"/>
      <c r="C263" s="20"/>
      <c r="D263" s="20"/>
      <c r="E263" s="20"/>
      <c r="F263" s="20"/>
      <c r="G263" s="20"/>
      <c r="H263" s="20"/>
      <c r="I263" s="21"/>
      <c r="J263" s="20"/>
      <c r="K263" s="20"/>
    </row>
    <row r="264" customFormat="false" ht="15" hidden="false" customHeight="true" outlineLevel="0" collapsed="false">
      <c r="A264" s="19"/>
      <c r="B264" s="20"/>
      <c r="C264" s="20"/>
      <c r="D264" s="20"/>
      <c r="E264" s="20"/>
      <c r="F264" s="20"/>
      <c r="G264" s="20"/>
      <c r="H264" s="20"/>
      <c r="I264" s="21"/>
      <c r="J264" s="20"/>
      <c r="K264" s="20"/>
    </row>
    <row r="265" customFormat="false" ht="15" hidden="false" customHeight="true" outlineLevel="0" collapsed="false">
      <c r="A265" s="19"/>
      <c r="B265" s="20"/>
      <c r="C265" s="20"/>
      <c r="D265" s="20"/>
      <c r="E265" s="20"/>
      <c r="F265" s="20"/>
      <c r="G265" s="20"/>
      <c r="H265" s="20"/>
      <c r="I265" s="21"/>
      <c r="J265" s="20"/>
      <c r="K265" s="20"/>
    </row>
    <row r="266" customFormat="false" ht="15" hidden="false" customHeight="true" outlineLevel="0" collapsed="false">
      <c r="A266" s="19"/>
      <c r="B266" s="20"/>
      <c r="C266" s="20"/>
      <c r="D266" s="20"/>
      <c r="E266" s="20"/>
      <c r="F266" s="20"/>
      <c r="G266" s="20"/>
      <c r="H266" s="20"/>
      <c r="I266" s="21"/>
      <c r="J266" s="20"/>
      <c r="K266" s="20"/>
    </row>
    <row r="267" customFormat="false" ht="15" hidden="false" customHeight="true" outlineLevel="0" collapsed="false">
      <c r="A267" s="19"/>
      <c r="B267" s="20"/>
      <c r="C267" s="20"/>
      <c r="D267" s="20"/>
      <c r="E267" s="20"/>
      <c r="F267" s="20"/>
      <c r="G267" s="20"/>
      <c r="H267" s="20"/>
      <c r="I267" s="21"/>
      <c r="J267" s="20"/>
      <c r="K267" s="20"/>
    </row>
    <row r="268" customFormat="false" ht="15" hidden="false" customHeight="true" outlineLevel="0" collapsed="false">
      <c r="A268" s="19"/>
      <c r="B268" s="20"/>
      <c r="C268" s="20"/>
      <c r="D268" s="20"/>
      <c r="E268" s="20"/>
      <c r="F268" s="20"/>
      <c r="G268" s="20"/>
      <c r="H268" s="20"/>
      <c r="I268" s="21"/>
      <c r="J268" s="20"/>
      <c r="K268" s="20"/>
    </row>
    <row r="269" customFormat="false" ht="15" hidden="false" customHeight="true" outlineLevel="0" collapsed="false">
      <c r="A269" s="19"/>
      <c r="B269" s="20"/>
      <c r="C269" s="20"/>
      <c r="D269" s="20"/>
      <c r="E269" s="20"/>
      <c r="F269" s="20"/>
      <c r="G269" s="20"/>
      <c r="H269" s="20"/>
      <c r="I269" s="21"/>
      <c r="J269" s="20"/>
      <c r="K269" s="20"/>
    </row>
    <row r="270" customFormat="false" ht="15" hidden="false" customHeight="true" outlineLevel="0" collapsed="false">
      <c r="A270" s="19"/>
      <c r="B270" s="20"/>
      <c r="C270" s="20"/>
      <c r="D270" s="20"/>
      <c r="E270" s="20"/>
      <c r="F270" s="20"/>
      <c r="G270" s="20"/>
      <c r="H270" s="20"/>
      <c r="I270" s="21"/>
      <c r="J270" s="20"/>
      <c r="K270" s="20"/>
    </row>
    <row r="271" customFormat="false" ht="15" hidden="false" customHeight="true" outlineLevel="0" collapsed="false">
      <c r="A271" s="19"/>
      <c r="B271" s="20"/>
      <c r="C271" s="20"/>
      <c r="D271" s="20"/>
      <c r="E271" s="20"/>
      <c r="F271" s="20"/>
      <c r="G271" s="20"/>
      <c r="H271" s="20"/>
      <c r="I271" s="21"/>
      <c r="J271" s="20"/>
      <c r="K271" s="20"/>
    </row>
    <row r="272" customFormat="false" ht="15" hidden="false" customHeight="true" outlineLevel="0" collapsed="false">
      <c r="A272" s="19"/>
      <c r="B272" s="20"/>
      <c r="C272" s="20"/>
      <c r="D272" s="20"/>
      <c r="E272" s="20"/>
      <c r="F272" s="20"/>
      <c r="G272" s="20"/>
      <c r="H272" s="20"/>
      <c r="I272" s="21"/>
      <c r="J272" s="20"/>
      <c r="K272" s="20"/>
    </row>
    <row r="273" customFormat="false" ht="15" hidden="false" customHeight="true" outlineLevel="0" collapsed="false">
      <c r="A273" s="19"/>
      <c r="B273" s="20"/>
      <c r="C273" s="20"/>
      <c r="D273" s="20"/>
      <c r="E273" s="20"/>
      <c r="F273" s="20"/>
      <c r="G273" s="20"/>
      <c r="H273" s="20"/>
      <c r="I273" s="21"/>
      <c r="J273" s="20"/>
      <c r="K273" s="20"/>
    </row>
    <row r="274" customFormat="false" ht="15" hidden="false" customHeight="true" outlineLevel="0" collapsed="false">
      <c r="A274" s="19"/>
      <c r="B274" s="20"/>
      <c r="C274" s="20"/>
      <c r="D274" s="20"/>
      <c r="E274" s="20"/>
      <c r="F274" s="20"/>
      <c r="G274" s="20"/>
      <c r="H274" s="20"/>
      <c r="I274" s="21"/>
      <c r="J274" s="20"/>
      <c r="K274" s="20"/>
    </row>
    <row r="275" customFormat="false" ht="15" hidden="false" customHeight="true" outlineLevel="0" collapsed="false">
      <c r="A275" s="19"/>
      <c r="B275" s="20"/>
      <c r="C275" s="20"/>
      <c r="D275" s="20"/>
      <c r="E275" s="20"/>
      <c r="F275" s="20"/>
      <c r="G275" s="20"/>
      <c r="H275" s="20"/>
      <c r="I275" s="21"/>
      <c r="J275" s="20"/>
      <c r="K275" s="20"/>
    </row>
    <row r="276" customFormat="false" ht="15" hidden="false" customHeight="true" outlineLevel="0" collapsed="false">
      <c r="A276" s="19"/>
      <c r="B276" s="20"/>
      <c r="C276" s="20"/>
      <c r="D276" s="20"/>
      <c r="E276" s="20"/>
      <c r="F276" s="20"/>
      <c r="G276" s="20"/>
      <c r="H276" s="20"/>
      <c r="I276" s="21"/>
      <c r="J276" s="20"/>
      <c r="K276" s="20"/>
    </row>
    <row r="277" customFormat="false" ht="15" hidden="false" customHeight="true" outlineLevel="0" collapsed="false">
      <c r="A277" s="19"/>
      <c r="B277" s="20"/>
      <c r="C277" s="20"/>
      <c r="D277" s="20"/>
      <c r="E277" s="20"/>
      <c r="F277" s="20"/>
      <c r="G277" s="20"/>
      <c r="H277" s="20"/>
      <c r="I277" s="21"/>
      <c r="J277" s="20"/>
      <c r="K277" s="20"/>
    </row>
    <row r="278" customFormat="false" ht="15" hidden="false" customHeight="true" outlineLevel="0" collapsed="false">
      <c r="A278" s="19"/>
      <c r="B278" s="20"/>
      <c r="C278" s="20"/>
      <c r="D278" s="20"/>
      <c r="E278" s="20"/>
      <c r="F278" s="20"/>
      <c r="G278" s="20"/>
      <c r="H278" s="20"/>
      <c r="I278" s="21"/>
      <c r="J278" s="20"/>
      <c r="K278" s="20"/>
    </row>
    <row r="279" customFormat="false" ht="15" hidden="false" customHeight="true" outlineLevel="0" collapsed="false">
      <c r="A279" s="19"/>
      <c r="B279" s="20"/>
      <c r="C279" s="20"/>
      <c r="D279" s="20"/>
      <c r="E279" s="20"/>
      <c r="F279" s="20"/>
      <c r="G279" s="20"/>
      <c r="H279" s="20"/>
      <c r="I279" s="21"/>
      <c r="J279" s="20"/>
      <c r="K279" s="20"/>
    </row>
    <row r="280" customFormat="false" ht="15" hidden="false" customHeight="true" outlineLevel="0" collapsed="false">
      <c r="A280" s="19"/>
      <c r="B280" s="20"/>
      <c r="C280" s="20"/>
      <c r="D280" s="20"/>
      <c r="E280" s="20"/>
      <c r="F280" s="20"/>
      <c r="G280" s="20"/>
      <c r="H280" s="20"/>
      <c r="I280" s="21"/>
      <c r="J280" s="20"/>
      <c r="K280" s="20"/>
    </row>
    <row r="281" customFormat="false" ht="15" hidden="false" customHeight="true" outlineLevel="0" collapsed="false">
      <c r="A281" s="19"/>
      <c r="B281" s="20"/>
      <c r="C281" s="20"/>
      <c r="D281" s="20"/>
      <c r="E281" s="20"/>
      <c r="F281" s="20"/>
      <c r="G281" s="20"/>
      <c r="H281" s="20"/>
      <c r="I281" s="21"/>
      <c r="J281" s="20"/>
      <c r="K281" s="20"/>
    </row>
    <row r="282" customFormat="false" ht="15" hidden="false" customHeight="true" outlineLevel="0" collapsed="false">
      <c r="A282" s="19"/>
      <c r="B282" s="20"/>
      <c r="C282" s="20"/>
      <c r="D282" s="20"/>
      <c r="E282" s="20"/>
      <c r="F282" s="20"/>
      <c r="G282" s="20"/>
      <c r="H282" s="20"/>
      <c r="I282" s="21"/>
      <c r="J282" s="20"/>
      <c r="K282" s="20"/>
    </row>
    <row r="283" customFormat="false" ht="15" hidden="false" customHeight="true" outlineLevel="0" collapsed="false">
      <c r="A283" s="19"/>
      <c r="B283" s="20"/>
      <c r="C283" s="20"/>
      <c r="D283" s="20"/>
      <c r="E283" s="20"/>
      <c r="F283" s="20"/>
      <c r="G283" s="20"/>
      <c r="H283" s="20"/>
      <c r="I283" s="21"/>
      <c r="J283" s="20"/>
      <c r="K283" s="20"/>
    </row>
    <row r="284" customFormat="false" ht="15" hidden="false" customHeight="true" outlineLevel="0" collapsed="false">
      <c r="A284" s="19"/>
      <c r="B284" s="20"/>
      <c r="C284" s="20"/>
      <c r="D284" s="20"/>
      <c r="E284" s="20"/>
      <c r="F284" s="20"/>
      <c r="G284" s="20"/>
      <c r="H284" s="20"/>
      <c r="I284" s="21"/>
      <c r="J284" s="20"/>
      <c r="K284" s="20"/>
    </row>
    <row r="285" customFormat="false" ht="15" hidden="false" customHeight="true" outlineLevel="0" collapsed="false">
      <c r="A285" s="19"/>
      <c r="B285" s="20"/>
      <c r="C285" s="20"/>
      <c r="D285" s="20"/>
      <c r="E285" s="20"/>
      <c r="F285" s="20"/>
      <c r="G285" s="20"/>
      <c r="H285" s="20"/>
      <c r="I285" s="21"/>
      <c r="J285" s="20"/>
      <c r="K285" s="20"/>
    </row>
    <row r="286" customFormat="false" ht="15" hidden="false" customHeight="true" outlineLevel="0" collapsed="false">
      <c r="A286" s="19"/>
      <c r="B286" s="20"/>
      <c r="C286" s="20"/>
      <c r="D286" s="20"/>
      <c r="E286" s="20"/>
      <c r="F286" s="20"/>
      <c r="G286" s="20"/>
      <c r="H286" s="20"/>
      <c r="I286" s="21"/>
      <c r="J286" s="20"/>
      <c r="K286" s="20"/>
    </row>
    <row r="287" customFormat="false" ht="15" hidden="false" customHeight="true" outlineLevel="0" collapsed="false">
      <c r="A287" s="19"/>
      <c r="B287" s="20"/>
      <c r="C287" s="20"/>
      <c r="D287" s="20"/>
      <c r="E287" s="20"/>
      <c r="F287" s="20"/>
      <c r="G287" s="20"/>
      <c r="H287" s="20"/>
      <c r="I287" s="21"/>
      <c r="J287" s="20"/>
      <c r="K287" s="20"/>
    </row>
    <row r="288" customFormat="false" ht="15" hidden="false" customHeight="true" outlineLevel="0" collapsed="false">
      <c r="A288" s="19"/>
      <c r="B288" s="20"/>
      <c r="C288" s="20"/>
      <c r="D288" s="20"/>
      <c r="E288" s="20"/>
      <c r="F288" s="20"/>
      <c r="G288" s="20"/>
      <c r="H288" s="20"/>
      <c r="I288" s="21"/>
      <c r="J288" s="20"/>
      <c r="K288" s="20"/>
    </row>
    <row r="289" customFormat="false" ht="15" hidden="false" customHeight="true" outlineLevel="0" collapsed="false">
      <c r="A289" s="19"/>
      <c r="B289" s="20"/>
      <c r="C289" s="20"/>
      <c r="D289" s="20"/>
      <c r="E289" s="20"/>
      <c r="F289" s="20"/>
      <c r="G289" s="20"/>
      <c r="H289" s="20"/>
      <c r="I289" s="21"/>
      <c r="J289" s="20"/>
      <c r="K289" s="20"/>
    </row>
    <row r="290" customFormat="false" ht="15" hidden="false" customHeight="true" outlineLevel="0" collapsed="false">
      <c r="A290" s="19"/>
      <c r="B290" s="20"/>
      <c r="C290" s="20"/>
      <c r="D290" s="20"/>
      <c r="E290" s="20"/>
      <c r="F290" s="20"/>
      <c r="G290" s="20"/>
      <c r="H290" s="20"/>
      <c r="I290" s="21"/>
      <c r="J290" s="20"/>
      <c r="K290" s="20"/>
    </row>
    <row r="291" customFormat="false" ht="15" hidden="false" customHeight="true" outlineLevel="0" collapsed="false">
      <c r="A291" s="19"/>
      <c r="B291" s="20"/>
      <c r="C291" s="20"/>
      <c r="D291" s="20"/>
      <c r="E291" s="20"/>
      <c r="F291" s="20"/>
      <c r="G291" s="20"/>
      <c r="H291" s="20"/>
      <c r="I291" s="21"/>
      <c r="J291" s="20"/>
      <c r="K291" s="20"/>
    </row>
    <row r="292" customFormat="false" ht="15" hidden="false" customHeight="true" outlineLevel="0" collapsed="false">
      <c r="A292" s="19"/>
      <c r="B292" s="20"/>
      <c r="C292" s="20"/>
      <c r="D292" s="20"/>
      <c r="E292" s="20"/>
      <c r="F292" s="20"/>
      <c r="G292" s="20"/>
      <c r="H292" s="20"/>
      <c r="I292" s="21"/>
      <c r="J292" s="20"/>
      <c r="K292" s="20"/>
    </row>
    <row r="293" customFormat="false" ht="15" hidden="false" customHeight="true" outlineLevel="0" collapsed="false">
      <c r="A293" s="19"/>
      <c r="B293" s="20"/>
      <c r="C293" s="20"/>
      <c r="D293" s="20"/>
      <c r="E293" s="20"/>
      <c r="F293" s="20"/>
      <c r="G293" s="20"/>
      <c r="H293" s="20"/>
      <c r="I293" s="21"/>
      <c r="J293" s="20"/>
      <c r="K293" s="20"/>
    </row>
    <row r="294" customFormat="false" ht="15" hidden="false" customHeight="true" outlineLevel="0" collapsed="false">
      <c r="A294" s="19"/>
      <c r="B294" s="20"/>
      <c r="C294" s="20"/>
      <c r="D294" s="20"/>
      <c r="E294" s="20"/>
      <c r="F294" s="20"/>
      <c r="G294" s="20"/>
      <c r="H294" s="20"/>
      <c r="I294" s="21"/>
      <c r="J294" s="20"/>
      <c r="K294" s="20"/>
    </row>
    <row r="295" customFormat="false" ht="15" hidden="false" customHeight="true" outlineLevel="0" collapsed="false">
      <c r="A295" s="19"/>
      <c r="B295" s="20"/>
      <c r="C295" s="20"/>
      <c r="D295" s="20"/>
      <c r="E295" s="20"/>
      <c r="F295" s="20"/>
      <c r="G295" s="20"/>
      <c r="H295" s="20"/>
      <c r="I295" s="21"/>
      <c r="J295" s="20"/>
      <c r="K295" s="20"/>
    </row>
    <row r="296" customFormat="false" ht="15" hidden="false" customHeight="true" outlineLevel="0" collapsed="false">
      <c r="A296" s="19"/>
      <c r="B296" s="20"/>
      <c r="C296" s="20"/>
      <c r="D296" s="20"/>
      <c r="E296" s="20"/>
      <c r="F296" s="20"/>
      <c r="G296" s="20"/>
      <c r="H296" s="20"/>
      <c r="I296" s="21"/>
      <c r="J296" s="20"/>
      <c r="K296" s="20"/>
    </row>
    <row r="297" customFormat="false" ht="15" hidden="false" customHeight="true" outlineLevel="0" collapsed="false">
      <c r="A297" s="19"/>
      <c r="B297" s="20"/>
      <c r="C297" s="20"/>
      <c r="D297" s="20"/>
      <c r="E297" s="20"/>
      <c r="F297" s="20"/>
      <c r="G297" s="20"/>
      <c r="H297" s="20"/>
      <c r="I297" s="21"/>
      <c r="J297" s="20"/>
      <c r="K297" s="20"/>
    </row>
    <row r="298" customFormat="false" ht="15" hidden="false" customHeight="true" outlineLevel="0" collapsed="false">
      <c r="A298" s="19"/>
      <c r="B298" s="20"/>
      <c r="C298" s="20"/>
      <c r="D298" s="20"/>
      <c r="E298" s="20"/>
      <c r="F298" s="20"/>
      <c r="G298" s="20"/>
      <c r="H298" s="20"/>
      <c r="I298" s="21"/>
      <c r="J298" s="20"/>
      <c r="K298" s="20"/>
    </row>
    <row r="299" customFormat="false" ht="15" hidden="false" customHeight="true" outlineLevel="0" collapsed="false">
      <c r="A299" s="19"/>
      <c r="B299" s="20"/>
      <c r="C299" s="20"/>
      <c r="D299" s="20"/>
      <c r="E299" s="20"/>
      <c r="F299" s="20"/>
      <c r="G299" s="20"/>
      <c r="H299" s="20"/>
      <c r="I299" s="21"/>
      <c r="J299" s="20"/>
      <c r="K299" s="20"/>
    </row>
    <row r="300" customFormat="false" ht="15" hidden="false" customHeight="true" outlineLevel="0" collapsed="false">
      <c r="A300" s="19"/>
      <c r="B300" s="20"/>
      <c r="C300" s="20"/>
      <c r="D300" s="20"/>
      <c r="E300" s="20"/>
      <c r="F300" s="20"/>
      <c r="G300" s="20"/>
      <c r="H300" s="20"/>
      <c r="I300" s="21"/>
      <c r="J300" s="20"/>
      <c r="K300" s="20"/>
    </row>
    <row r="301" customFormat="false" ht="15" hidden="false" customHeight="true" outlineLevel="0" collapsed="false">
      <c r="A301" s="19"/>
      <c r="B301" s="20"/>
      <c r="C301" s="20"/>
      <c r="D301" s="20"/>
      <c r="E301" s="20"/>
      <c r="F301" s="20"/>
      <c r="G301" s="20"/>
      <c r="H301" s="20"/>
      <c r="I301" s="21"/>
      <c r="J301" s="20"/>
      <c r="K301" s="20"/>
    </row>
    <row r="302" customFormat="false" ht="15" hidden="false" customHeight="true" outlineLevel="0" collapsed="false">
      <c r="A302" s="19"/>
      <c r="B302" s="20"/>
      <c r="C302" s="20"/>
      <c r="D302" s="20"/>
      <c r="E302" s="20"/>
      <c r="F302" s="20"/>
      <c r="G302" s="20"/>
      <c r="H302" s="20"/>
      <c r="I302" s="21"/>
      <c r="J302" s="20"/>
      <c r="K302" s="20"/>
    </row>
    <row r="303" customFormat="false" ht="15" hidden="false" customHeight="true" outlineLevel="0" collapsed="false">
      <c r="A303" s="19"/>
      <c r="B303" s="20"/>
      <c r="C303" s="20"/>
      <c r="D303" s="20"/>
      <c r="E303" s="20"/>
      <c r="F303" s="20"/>
      <c r="G303" s="20"/>
      <c r="H303" s="20"/>
      <c r="I303" s="21"/>
      <c r="J303" s="20"/>
      <c r="K303" s="20"/>
    </row>
    <row r="304" customFormat="false" ht="15" hidden="false" customHeight="true" outlineLevel="0" collapsed="false">
      <c r="A304" s="19"/>
      <c r="B304" s="20"/>
      <c r="C304" s="20"/>
      <c r="D304" s="20"/>
      <c r="E304" s="20"/>
      <c r="F304" s="20"/>
      <c r="G304" s="20"/>
      <c r="H304" s="20"/>
      <c r="I304" s="21"/>
      <c r="J304" s="20"/>
      <c r="K304" s="20"/>
    </row>
    <row r="305" customFormat="false" ht="15" hidden="false" customHeight="true" outlineLevel="0" collapsed="false">
      <c r="A305" s="19"/>
      <c r="B305" s="20"/>
      <c r="C305" s="20"/>
      <c r="D305" s="20"/>
      <c r="E305" s="20"/>
      <c r="F305" s="20"/>
      <c r="G305" s="20"/>
      <c r="H305" s="20"/>
      <c r="I305" s="21"/>
      <c r="J305" s="20"/>
      <c r="K305" s="20"/>
    </row>
  </sheetData>
  <dataValidations count="3">
    <dataValidation allowBlank="true" errorStyle="stop" operator="between" showDropDown="false" showErrorMessage="false" showInputMessage="false" sqref="H7:H305" type="list">
      <formula1>"Sí,No,Pendiente"</formula1>
      <formula2>0</formula2>
    </dataValidation>
    <dataValidation allowBlank="true" errorStyle="stop" operator="between" showDropDown="false" showErrorMessage="false" showInputMessage="false" sqref="F7:F305" type="list">
      <formula1>"A · Admins,B · Gastronomía,C · Belleza,D · Amplio,Orgánico,Referido"</formula1>
      <formula2>0</formula2>
    </dataValidation>
    <dataValidation allowBlank="true" errorStyle="stop" operator="between" showDropDown="false" showErrorMessage="false" showInputMessage="false" sqref="G7:G305" type="list">
      <formula1>"1 Demo,2 Problema,3 Objeción,4 Caso,5 Pena"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5"/>
    <col collapsed="false" customWidth="true" hidden="false" outlineLevel="0" max="6" min="4" style="1" width="13"/>
  </cols>
  <sheetData>
    <row r="1" customFormat="false" ht="17.25" hidden="false" customHeight="true" outlineLevel="0" collapsed="false">
      <c r="A1" s="2" t="s">
        <v>49</v>
      </c>
    </row>
    <row r="2" customFormat="false" ht="15" hidden="false" customHeight="true" outlineLevel="0" collapsed="false">
      <c r="A2" s="3" t="s">
        <v>50</v>
      </c>
    </row>
    <row r="4" customFormat="false" ht="15" hidden="false" customHeight="true" outlineLevel="0" collapsed="false">
      <c r="A4" s="14" t="s">
        <v>31</v>
      </c>
      <c r="B4" s="14" t="s">
        <v>11</v>
      </c>
      <c r="C4" s="14" t="s">
        <v>12</v>
      </c>
      <c r="D4" s="14" t="s">
        <v>13</v>
      </c>
      <c r="E4" s="14" t="s">
        <v>14</v>
      </c>
      <c r="F4" s="14" t="s">
        <v>51</v>
      </c>
    </row>
    <row r="5" customFormat="false" ht="15" hidden="false" customHeight="true" outlineLevel="0" collapsed="false">
      <c r="A5" s="19"/>
      <c r="B5" s="21"/>
      <c r="C5" s="21"/>
      <c r="D5" s="21"/>
      <c r="E5" s="21"/>
      <c r="F5" s="6" t="str">
        <f aca="false">IF(COUNT(B5:E5)=0,"",SUM(B5:E5))</f>
        <v/>
      </c>
    </row>
    <row r="6" customFormat="false" ht="15" hidden="false" customHeight="true" outlineLevel="0" collapsed="false">
      <c r="A6" s="19"/>
      <c r="B6" s="21"/>
      <c r="C6" s="21"/>
      <c r="D6" s="21"/>
      <c r="E6" s="21"/>
      <c r="F6" s="6" t="str">
        <f aca="false">IF(COUNT(B6:E6)=0,"",SUM(B6:E6))</f>
        <v/>
      </c>
    </row>
    <row r="7" customFormat="false" ht="15" hidden="false" customHeight="true" outlineLevel="0" collapsed="false">
      <c r="A7" s="19"/>
      <c r="B7" s="21"/>
      <c r="C7" s="21"/>
      <c r="D7" s="21"/>
      <c r="E7" s="21"/>
      <c r="F7" s="6" t="str">
        <f aca="false">IF(COUNT(B7:E7)=0,"",SUM(B7:E7))</f>
        <v/>
      </c>
    </row>
    <row r="8" customFormat="false" ht="15" hidden="false" customHeight="true" outlineLevel="0" collapsed="false">
      <c r="A8" s="19"/>
      <c r="B8" s="21"/>
      <c r="C8" s="21"/>
      <c r="D8" s="21"/>
      <c r="E8" s="21"/>
      <c r="F8" s="6" t="str">
        <f aca="false">IF(COUNT(B8:E8)=0,"",SUM(B8:E8))</f>
        <v/>
      </c>
    </row>
    <row r="9" customFormat="false" ht="15" hidden="false" customHeight="true" outlineLevel="0" collapsed="false">
      <c r="A9" s="19"/>
      <c r="B9" s="21"/>
      <c r="C9" s="21"/>
      <c r="D9" s="21"/>
      <c r="E9" s="21"/>
      <c r="F9" s="6" t="str">
        <f aca="false">IF(COUNT(B9:E9)=0,"",SUM(B9:E9))</f>
        <v/>
      </c>
    </row>
    <row r="10" customFormat="false" ht="15" hidden="false" customHeight="true" outlineLevel="0" collapsed="false">
      <c r="A10" s="19"/>
      <c r="B10" s="21"/>
      <c r="C10" s="21"/>
      <c r="D10" s="21"/>
      <c r="E10" s="21"/>
      <c r="F10" s="6" t="str">
        <f aca="false">IF(COUNT(B10:E10)=0,"",SUM(B10:E10))</f>
        <v/>
      </c>
    </row>
    <row r="11" customFormat="false" ht="15" hidden="false" customHeight="true" outlineLevel="0" collapsed="false">
      <c r="A11" s="19"/>
      <c r="B11" s="21"/>
      <c r="C11" s="21"/>
      <c r="D11" s="21"/>
      <c r="E11" s="21"/>
      <c r="F11" s="6" t="str">
        <f aca="false">IF(COUNT(B11:E11)=0,"",SUM(B11:E11))</f>
        <v/>
      </c>
    </row>
    <row r="12" customFormat="false" ht="15" hidden="false" customHeight="true" outlineLevel="0" collapsed="false">
      <c r="A12" s="19"/>
      <c r="B12" s="21"/>
      <c r="C12" s="21"/>
      <c r="D12" s="21"/>
      <c r="E12" s="21"/>
      <c r="F12" s="6" t="str">
        <f aca="false">IF(COUNT(B12:E12)=0,"",SUM(B12:E12))</f>
        <v/>
      </c>
    </row>
    <row r="13" customFormat="false" ht="15" hidden="false" customHeight="true" outlineLevel="0" collapsed="false">
      <c r="A13" s="19"/>
      <c r="B13" s="21"/>
      <c r="C13" s="21"/>
      <c r="D13" s="21"/>
      <c r="E13" s="21"/>
      <c r="F13" s="6" t="str">
        <f aca="false">IF(COUNT(B13:E13)=0,"",SUM(B13:E13))</f>
        <v/>
      </c>
    </row>
    <row r="14" customFormat="false" ht="15" hidden="false" customHeight="true" outlineLevel="0" collapsed="false">
      <c r="A14" s="19"/>
      <c r="B14" s="21"/>
      <c r="C14" s="21"/>
      <c r="D14" s="21"/>
      <c r="E14" s="21"/>
      <c r="F14" s="6" t="str">
        <f aca="false">IF(COUNT(B14:E14)=0,"",SUM(B14:E14))</f>
        <v/>
      </c>
    </row>
    <row r="15" customFormat="false" ht="15" hidden="false" customHeight="true" outlineLevel="0" collapsed="false">
      <c r="A15" s="19"/>
      <c r="B15" s="21"/>
      <c r="C15" s="21"/>
      <c r="D15" s="21"/>
      <c r="E15" s="21"/>
      <c r="F15" s="6" t="str">
        <f aca="false">IF(COUNT(B15:E15)=0,"",SUM(B15:E15))</f>
        <v/>
      </c>
    </row>
    <row r="16" customFormat="false" ht="15" hidden="false" customHeight="true" outlineLevel="0" collapsed="false">
      <c r="A16" s="19"/>
      <c r="B16" s="21"/>
      <c r="C16" s="21"/>
      <c r="D16" s="21"/>
      <c r="E16" s="21"/>
      <c r="F16" s="6" t="str">
        <f aca="false">IF(COUNT(B16:E16)=0,"",SUM(B16:E16))</f>
        <v/>
      </c>
    </row>
    <row r="17" customFormat="false" ht="15" hidden="false" customHeight="true" outlineLevel="0" collapsed="false">
      <c r="A17" s="19"/>
      <c r="B17" s="21"/>
      <c r="C17" s="21"/>
      <c r="D17" s="21"/>
      <c r="E17" s="21"/>
      <c r="F17" s="6" t="str">
        <f aca="false">IF(COUNT(B17:E17)=0,"",SUM(B17:E17))</f>
        <v/>
      </c>
    </row>
    <row r="18" customFormat="false" ht="15" hidden="false" customHeight="true" outlineLevel="0" collapsed="false">
      <c r="A18" s="19"/>
      <c r="B18" s="21"/>
      <c r="C18" s="21"/>
      <c r="D18" s="21"/>
      <c r="E18" s="21"/>
      <c r="F18" s="6" t="str">
        <f aca="false">IF(COUNT(B18:E18)=0,"",SUM(B18:E18))</f>
        <v/>
      </c>
    </row>
    <row r="19" customFormat="false" ht="15" hidden="false" customHeight="true" outlineLevel="0" collapsed="false">
      <c r="A19" s="19"/>
      <c r="B19" s="21"/>
      <c r="C19" s="21"/>
      <c r="D19" s="21"/>
      <c r="E19" s="21"/>
      <c r="F19" s="6" t="str">
        <f aca="false">IF(COUNT(B19:E19)=0,"",SUM(B19:E19))</f>
        <v/>
      </c>
    </row>
    <row r="20" customFormat="false" ht="15" hidden="false" customHeight="true" outlineLevel="0" collapsed="false">
      <c r="A20" s="19"/>
      <c r="B20" s="21"/>
      <c r="C20" s="21"/>
      <c r="D20" s="21"/>
      <c r="E20" s="21"/>
      <c r="F20" s="6" t="str">
        <f aca="false">IF(COUNT(B20:E20)=0,"",SUM(B20:E20))</f>
        <v/>
      </c>
    </row>
    <row r="21" customFormat="false" ht="15" hidden="false" customHeight="true" outlineLevel="0" collapsed="false">
      <c r="A21" s="19"/>
      <c r="B21" s="21"/>
      <c r="C21" s="21"/>
      <c r="D21" s="21"/>
      <c r="E21" s="21"/>
      <c r="F21" s="6" t="str">
        <f aca="false">IF(COUNT(B21:E21)=0,"",SUM(B21:E21))</f>
        <v/>
      </c>
    </row>
    <row r="22" customFormat="false" ht="15" hidden="false" customHeight="true" outlineLevel="0" collapsed="false">
      <c r="A22" s="19"/>
      <c r="B22" s="21"/>
      <c r="C22" s="21"/>
      <c r="D22" s="21"/>
      <c r="E22" s="21"/>
      <c r="F22" s="6" t="str">
        <f aca="false">IF(COUNT(B22:E22)=0,"",SUM(B22:E22))</f>
        <v/>
      </c>
    </row>
    <row r="23" customFormat="false" ht="15" hidden="false" customHeight="true" outlineLevel="0" collapsed="false">
      <c r="A23" s="19"/>
      <c r="B23" s="21"/>
      <c r="C23" s="21"/>
      <c r="D23" s="21"/>
      <c r="E23" s="21"/>
      <c r="F23" s="6" t="str">
        <f aca="false">IF(COUNT(B23:E23)=0,"",SUM(B23:E23))</f>
        <v/>
      </c>
    </row>
    <row r="24" customFormat="false" ht="15" hidden="false" customHeight="true" outlineLevel="0" collapsed="false">
      <c r="A24" s="19"/>
      <c r="B24" s="21"/>
      <c r="C24" s="21"/>
      <c r="D24" s="21"/>
      <c r="E24" s="21"/>
      <c r="F24" s="6" t="str">
        <f aca="false">IF(COUNT(B24:E24)=0,"",SUM(B24:E24))</f>
        <v/>
      </c>
    </row>
    <row r="25" customFormat="false" ht="15" hidden="false" customHeight="true" outlineLevel="0" collapsed="false">
      <c r="A25" s="19"/>
      <c r="B25" s="21"/>
      <c r="C25" s="21"/>
      <c r="D25" s="21"/>
      <c r="E25" s="21"/>
      <c r="F25" s="6" t="str">
        <f aca="false">IF(COUNT(B25:E25)=0,"",SUM(B25:E25))</f>
        <v/>
      </c>
    </row>
    <row r="26" customFormat="false" ht="15" hidden="false" customHeight="true" outlineLevel="0" collapsed="false">
      <c r="A26" s="19"/>
      <c r="B26" s="21"/>
      <c r="C26" s="21"/>
      <c r="D26" s="21"/>
      <c r="E26" s="21"/>
      <c r="F26" s="6" t="str">
        <f aca="false">IF(COUNT(B26:E26)=0,"",SUM(B26:E26))</f>
        <v/>
      </c>
    </row>
    <row r="27" customFormat="false" ht="15" hidden="false" customHeight="true" outlineLevel="0" collapsed="false">
      <c r="A27" s="19"/>
      <c r="B27" s="21"/>
      <c r="C27" s="21"/>
      <c r="D27" s="21"/>
      <c r="E27" s="21"/>
      <c r="F27" s="6" t="str">
        <f aca="false">IF(COUNT(B27:E27)=0,"",SUM(B27:E27))</f>
        <v/>
      </c>
    </row>
    <row r="28" customFormat="false" ht="15" hidden="false" customHeight="true" outlineLevel="0" collapsed="false">
      <c r="A28" s="19"/>
      <c r="B28" s="21"/>
      <c r="C28" s="21"/>
      <c r="D28" s="21"/>
      <c r="E28" s="21"/>
      <c r="F28" s="6" t="str">
        <f aca="false">IF(COUNT(B28:E28)=0,"",SUM(B28:E28))</f>
        <v/>
      </c>
    </row>
    <row r="29" customFormat="false" ht="15" hidden="false" customHeight="true" outlineLevel="0" collapsed="false">
      <c r="A29" s="19"/>
      <c r="B29" s="21"/>
      <c r="C29" s="21"/>
      <c r="D29" s="21"/>
      <c r="E29" s="21"/>
      <c r="F29" s="6" t="str">
        <f aca="false">IF(COUNT(B29:E29)=0,"",SUM(B29:E29))</f>
        <v/>
      </c>
    </row>
    <row r="30" customFormat="false" ht="15" hidden="false" customHeight="true" outlineLevel="0" collapsed="false">
      <c r="A30" s="19"/>
      <c r="B30" s="21"/>
      <c r="C30" s="21"/>
      <c r="D30" s="21"/>
      <c r="E30" s="21"/>
      <c r="F30" s="6" t="str">
        <f aca="false">IF(COUNT(B30:E30)=0,"",SUM(B30:E30))</f>
        <v/>
      </c>
    </row>
    <row r="31" customFormat="false" ht="15" hidden="false" customHeight="true" outlineLevel="0" collapsed="false">
      <c r="A31" s="19"/>
      <c r="B31" s="21"/>
      <c r="C31" s="21"/>
      <c r="D31" s="21"/>
      <c r="E31" s="21"/>
      <c r="F31" s="6" t="str">
        <f aca="false">IF(COUNT(B31:E31)=0,"",SUM(B31:E31))</f>
        <v/>
      </c>
    </row>
    <row r="32" customFormat="false" ht="15" hidden="false" customHeight="true" outlineLevel="0" collapsed="false">
      <c r="A32" s="19"/>
      <c r="B32" s="21"/>
      <c r="C32" s="21"/>
      <c r="D32" s="21"/>
      <c r="E32" s="21"/>
      <c r="F32" s="6" t="str">
        <f aca="false">IF(COUNT(B32:E32)=0,"",SUM(B32:E32))</f>
        <v/>
      </c>
    </row>
    <row r="33" customFormat="false" ht="15" hidden="false" customHeight="true" outlineLevel="0" collapsed="false">
      <c r="A33" s="19"/>
      <c r="B33" s="21"/>
      <c r="C33" s="21"/>
      <c r="D33" s="21"/>
      <c r="E33" s="21"/>
      <c r="F33" s="6" t="str">
        <f aca="false">IF(COUNT(B33:E33)=0,"",SUM(B33:E33))</f>
        <v/>
      </c>
    </row>
    <row r="34" customFormat="false" ht="15" hidden="false" customHeight="true" outlineLevel="0" collapsed="false">
      <c r="A34" s="19"/>
      <c r="B34" s="21"/>
      <c r="C34" s="21"/>
      <c r="D34" s="21"/>
      <c r="E34" s="21"/>
      <c r="F34" s="6" t="str">
        <f aca="false">IF(COUNT(B34:E34)=0,"",SUM(B34:E34))</f>
        <v/>
      </c>
    </row>
    <row r="35" customFormat="false" ht="15" hidden="false" customHeight="true" outlineLevel="0" collapsed="false">
      <c r="A35" s="19"/>
      <c r="B35" s="21"/>
      <c r="C35" s="21"/>
      <c r="D35" s="21"/>
      <c r="E35" s="21"/>
      <c r="F35" s="6" t="str">
        <f aca="false">IF(COUNT(B35:E35)=0,"",SUM(B35:E35))</f>
        <v/>
      </c>
    </row>
    <row r="36" customFormat="false" ht="15" hidden="false" customHeight="true" outlineLevel="0" collapsed="false">
      <c r="A36" s="19"/>
      <c r="B36" s="21"/>
      <c r="C36" s="21"/>
      <c r="D36" s="21"/>
      <c r="E36" s="21"/>
      <c r="F36" s="6" t="str">
        <f aca="false">IF(COUNT(B36:E36)=0,"",SUM(B36:E36))</f>
        <v/>
      </c>
    </row>
    <row r="37" customFormat="false" ht="15" hidden="false" customHeight="true" outlineLevel="0" collapsed="false">
      <c r="A37" s="19"/>
      <c r="B37" s="21"/>
      <c r="C37" s="21"/>
      <c r="D37" s="21"/>
      <c r="E37" s="21"/>
      <c r="F37" s="6" t="str">
        <f aca="false">IF(COUNT(B37:E37)=0,"",SUM(B37:E37))</f>
        <v/>
      </c>
    </row>
    <row r="38" customFormat="false" ht="15" hidden="false" customHeight="true" outlineLevel="0" collapsed="false">
      <c r="A38" s="19"/>
      <c r="B38" s="21"/>
      <c r="C38" s="21"/>
      <c r="D38" s="21"/>
      <c r="E38" s="21"/>
      <c r="F38" s="6" t="str">
        <f aca="false">IF(COUNT(B38:E38)=0,"",SUM(B38:E38))</f>
        <v/>
      </c>
    </row>
    <row r="39" customFormat="false" ht="15" hidden="false" customHeight="true" outlineLevel="0" collapsed="false">
      <c r="A39" s="19"/>
      <c r="B39" s="21"/>
      <c r="C39" s="21"/>
      <c r="D39" s="21"/>
      <c r="E39" s="21"/>
      <c r="F39" s="6" t="str">
        <f aca="false">IF(COUNT(B39:E39)=0,"",SUM(B39:E39))</f>
        <v/>
      </c>
    </row>
    <row r="40" customFormat="false" ht="15" hidden="false" customHeight="true" outlineLevel="0" collapsed="false">
      <c r="A40" s="19"/>
      <c r="B40" s="21"/>
      <c r="C40" s="21"/>
      <c r="D40" s="21"/>
      <c r="E40" s="21"/>
      <c r="F40" s="6" t="str">
        <f aca="false">IF(COUNT(B40:E40)=0,"",SUM(B40:E40))</f>
        <v/>
      </c>
    </row>
    <row r="41" customFormat="false" ht="15" hidden="false" customHeight="true" outlineLevel="0" collapsed="false">
      <c r="A41" s="19"/>
      <c r="B41" s="21"/>
      <c r="C41" s="21"/>
      <c r="D41" s="21"/>
      <c r="E41" s="21"/>
      <c r="F41" s="6" t="str">
        <f aca="false">IF(COUNT(B41:E41)=0,"",SUM(B41:E41))</f>
        <v/>
      </c>
    </row>
    <row r="42" customFormat="false" ht="15" hidden="false" customHeight="true" outlineLevel="0" collapsed="false">
      <c r="A42" s="19"/>
      <c r="B42" s="21"/>
      <c r="C42" s="21"/>
      <c r="D42" s="21"/>
      <c r="E42" s="21"/>
      <c r="F42" s="6" t="str">
        <f aca="false">IF(COUNT(B42:E42)=0,"",SUM(B42:E42))</f>
        <v/>
      </c>
    </row>
    <row r="43" customFormat="false" ht="15" hidden="false" customHeight="true" outlineLevel="0" collapsed="false">
      <c r="A43" s="19"/>
      <c r="B43" s="21"/>
      <c r="C43" s="21"/>
      <c r="D43" s="21"/>
      <c r="E43" s="21"/>
      <c r="F43" s="6" t="str">
        <f aca="false">IF(COUNT(B43:E43)=0,"",SUM(B43:E43))</f>
        <v/>
      </c>
    </row>
    <row r="44" customFormat="false" ht="15" hidden="false" customHeight="true" outlineLevel="0" collapsed="false">
      <c r="A44" s="19"/>
      <c r="B44" s="21"/>
      <c r="C44" s="21"/>
      <c r="D44" s="21"/>
      <c r="E44" s="21"/>
      <c r="F44" s="6" t="str">
        <f aca="false">IF(COUNT(B44:E44)=0,"",SUM(B44:E44))</f>
        <v/>
      </c>
    </row>
    <row r="45" customFormat="false" ht="15" hidden="false" customHeight="true" outlineLevel="0" collapsed="false">
      <c r="A45" s="19"/>
      <c r="B45" s="21"/>
      <c r="C45" s="21"/>
      <c r="D45" s="21"/>
      <c r="E45" s="21"/>
      <c r="F45" s="6" t="str">
        <f aca="false">IF(COUNT(B45:E45)=0,"",SUM(B45:E45))</f>
        <v/>
      </c>
    </row>
    <row r="46" customFormat="false" ht="15" hidden="false" customHeight="true" outlineLevel="0" collapsed="false">
      <c r="A46" s="19"/>
      <c r="B46" s="21"/>
      <c r="C46" s="21"/>
      <c r="D46" s="21"/>
      <c r="E46" s="21"/>
      <c r="F46" s="6" t="str">
        <f aca="false">IF(COUNT(B46:E46)=0,"",SUM(B46:E46))</f>
        <v/>
      </c>
    </row>
    <row r="47" customFormat="false" ht="15" hidden="false" customHeight="true" outlineLevel="0" collapsed="false">
      <c r="A47" s="19"/>
      <c r="B47" s="21"/>
      <c r="C47" s="21"/>
      <c r="D47" s="21"/>
      <c r="E47" s="21"/>
      <c r="F47" s="6" t="str">
        <f aca="false">IF(COUNT(B47:E47)=0,"",SUM(B47:E47))</f>
        <v/>
      </c>
    </row>
    <row r="48" customFormat="false" ht="15" hidden="false" customHeight="true" outlineLevel="0" collapsed="false">
      <c r="A48" s="19"/>
      <c r="B48" s="21"/>
      <c r="C48" s="21"/>
      <c r="D48" s="21"/>
      <c r="E48" s="21"/>
      <c r="F48" s="6" t="str">
        <f aca="false">IF(COUNT(B48:E48)=0,"",SUM(B48:E48))</f>
        <v/>
      </c>
    </row>
    <row r="49" customFormat="false" ht="15" hidden="false" customHeight="true" outlineLevel="0" collapsed="false">
      <c r="A49" s="19"/>
      <c r="B49" s="21"/>
      <c r="C49" s="21"/>
      <c r="D49" s="21"/>
      <c r="E49" s="21"/>
      <c r="F49" s="6" t="str">
        <f aca="false">IF(COUNT(B49:E49)=0,"",SUM(B49:E49))</f>
        <v/>
      </c>
    </row>
    <row r="50" customFormat="false" ht="15" hidden="false" customHeight="true" outlineLevel="0" collapsed="false">
      <c r="A50" s="19"/>
      <c r="B50" s="21"/>
      <c r="C50" s="21"/>
      <c r="D50" s="21"/>
      <c r="E50" s="21"/>
      <c r="F50" s="6" t="str">
        <f aca="false">IF(COUNT(B50:E50)=0,"",SUM(B50:E50))</f>
        <v/>
      </c>
    </row>
    <row r="51" customFormat="false" ht="15" hidden="false" customHeight="true" outlineLevel="0" collapsed="false">
      <c r="A51" s="19"/>
      <c r="B51" s="21"/>
      <c r="C51" s="21"/>
      <c r="D51" s="21"/>
      <c r="E51" s="21"/>
      <c r="F51" s="6" t="str">
        <f aca="false">IF(COUNT(B51:E51)=0,"",SUM(B51:E51))</f>
        <v/>
      </c>
    </row>
    <row r="52" customFormat="false" ht="15" hidden="false" customHeight="true" outlineLevel="0" collapsed="false">
      <c r="A52" s="19"/>
      <c r="B52" s="21"/>
      <c r="C52" s="21"/>
      <c r="D52" s="21"/>
      <c r="E52" s="21"/>
      <c r="F52" s="6" t="str">
        <f aca="false">IF(COUNT(B52:E52)=0,"",SUM(B52:E52))</f>
        <v/>
      </c>
    </row>
    <row r="53" customFormat="false" ht="15" hidden="false" customHeight="true" outlineLevel="0" collapsed="false">
      <c r="A53" s="19"/>
      <c r="B53" s="21"/>
      <c r="C53" s="21"/>
      <c r="D53" s="21"/>
      <c r="E53" s="21"/>
      <c r="F53" s="6" t="str">
        <f aca="false">IF(COUNT(B53:E53)=0,"",SUM(B53:E53))</f>
        <v/>
      </c>
    </row>
    <row r="54" customFormat="false" ht="15" hidden="false" customHeight="true" outlineLevel="0" collapsed="false">
      <c r="A54" s="19"/>
      <c r="B54" s="21"/>
      <c r="C54" s="21"/>
      <c r="D54" s="21"/>
      <c r="E54" s="21"/>
      <c r="F54" s="6" t="str">
        <f aca="false">IF(COUNT(B54:E54)=0,"",SUM(B54:E54))</f>
        <v/>
      </c>
    </row>
    <row r="55" customFormat="false" ht="15" hidden="false" customHeight="true" outlineLevel="0" collapsed="false">
      <c r="A55" s="19"/>
      <c r="B55" s="21"/>
      <c r="C55" s="21"/>
      <c r="D55" s="21"/>
      <c r="E55" s="21"/>
      <c r="F55" s="6" t="str">
        <f aca="false">IF(COUNT(B55:E55)=0,"",SUM(B55:E55))</f>
        <v/>
      </c>
    </row>
    <row r="56" customFormat="false" ht="15" hidden="false" customHeight="true" outlineLevel="0" collapsed="false">
      <c r="A56" s="19"/>
      <c r="B56" s="21"/>
      <c r="C56" s="21"/>
      <c r="D56" s="21"/>
      <c r="E56" s="21"/>
      <c r="F56" s="6" t="str">
        <f aca="false">IF(COUNT(B56:E56)=0,"",SUM(B56:E56))</f>
        <v/>
      </c>
    </row>
    <row r="57" customFormat="false" ht="15" hidden="false" customHeight="true" outlineLevel="0" collapsed="false">
      <c r="A57" s="19"/>
      <c r="B57" s="21"/>
      <c r="C57" s="21"/>
      <c r="D57" s="21"/>
      <c r="E57" s="21"/>
      <c r="F57" s="6" t="str">
        <f aca="false">IF(COUNT(B57:E57)=0,"",SUM(B57:E57))</f>
        <v/>
      </c>
    </row>
    <row r="58" customFormat="false" ht="15" hidden="false" customHeight="true" outlineLevel="0" collapsed="false">
      <c r="A58" s="19"/>
      <c r="B58" s="21"/>
      <c r="C58" s="21"/>
      <c r="D58" s="21"/>
      <c r="E58" s="21"/>
      <c r="F58" s="6" t="str">
        <f aca="false">IF(COUNT(B58:E58)=0,"",SUM(B58:E58))</f>
        <v/>
      </c>
    </row>
    <row r="59" customFormat="false" ht="15" hidden="false" customHeight="true" outlineLevel="0" collapsed="false">
      <c r="A59" s="19"/>
      <c r="B59" s="21"/>
      <c r="C59" s="21"/>
      <c r="D59" s="21"/>
      <c r="E59" s="21"/>
      <c r="F59" s="6" t="str">
        <f aca="false">IF(COUNT(B59:E59)=0,"",SUM(B59:E59))</f>
        <v/>
      </c>
    </row>
    <row r="60" customFormat="false" ht="15" hidden="false" customHeight="true" outlineLevel="0" collapsed="false">
      <c r="A60" s="19"/>
      <c r="B60" s="21"/>
      <c r="C60" s="21"/>
      <c r="D60" s="21"/>
      <c r="E60" s="21"/>
      <c r="F60" s="6" t="str">
        <f aca="false">IF(COUNT(B60:E60)=0,"",SUM(B60:E60))</f>
        <v/>
      </c>
    </row>
    <row r="61" customFormat="false" ht="15" hidden="false" customHeight="true" outlineLevel="0" collapsed="false">
      <c r="A61" s="19"/>
      <c r="B61" s="21"/>
      <c r="C61" s="21"/>
      <c r="D61" s="21"/>
      <c r="E61" s="21"/>
      <c r="F61" s="6" t="str">
        <f aca="false">IF(COUNT(B61:E61)=0,"",SUM(B61:E61))</f>
        <v/>
      </c>
    </row>
    <row r="62" customFormat="false" ht="15" hidden="false" customHeight="true" outlineLevel="0" collapsed="false">
      <c r="A62" s="19"/>
      <c r="B62" s="21"/>
      <c r="C62" s="21"/>
      <c r="D62" s="21"/>
      <c r="E62" s="21"/>
      <c r="F62" s="6" t="str">
        <f aca="false">IF(COUNT(B62:E62)=0,"",SUM(B62:E62))</f>
        <v/>
      </c>
    </row>
    <row r="63" customFormat="false" ht="15" hidden="false" customHeight="true" outlineLevel="0" collapsed="false">
      <c r="A63" s="19"/>
      <c r="B63" s="21"/>
      <c r="C63" s="21"/>
      <c r="D63" s="21"/>
      <c r="E63" s="21"/>
      <c r="F63" s="6" t="str">
        <f aca="false">IF(COUNT(B63:E63)=0,"",SUM(B63:E63))</f>
        <v/>
      </c>
    </row>
    <row r="64" customFormat="false" ht="15" hidden="false" customHeight="true" outlineLevel="0" collapsed="false">
      <c r="A64" s="19"/>
      <c r="B64" s="21"/>
      <c r="C64" s="21"/>
      <c r="D64" s="21"/>
      <c r="E64" s="21"/>
      <c r="F64" s="6" t="str">
        <f aca="false">IF(COUNT(B64:E64)=0,"",SUM(B64:E64))</f>
        <v/>
      </c>
    </row>
    <row r="65" customFormat="false" ht="15" hidden="false" customHeight="true" outlineLevel="0" collapsed="false">
      <c r="A65" s="19"/>
      <c r="B65" s="21"/>
      <c r="C65" s="21"/>
      <c r="D65" s="21"/>
      <c r="E65" s="21"/>
      <c r="F65" s="6" t="str">
        <f aca="false">IF(COUNT(B65:E65)=0,"",SUM(B65:E65))</f>
        <v/>
      </c>
    </row>
    <row r="66" customFormat="false" ht="15" hidden="false" customHeight="true" outlineLevel="0" collapsed="false">
      <c r="A66" s="19"/>
      <c r="B66" s="21"/>
      <c r="C66" s="21"/>
      <c r="D66" s="21"/>
      <c r="E66" s="21"/>
      <c r="F66" s="6" t="str">
        <f aca="false">IF(COUNT(B66:E66)=0,"",SUM(B66:E66))</f>
        <v/>
      </c>
    </row>
    <row r="67" customFormat="false" ht="15" hidden="false" customHeight="true" outlineLevel="0" collapsed="false">
      <c r="A67" s="19"/>
      <c r="B67" s="21"/>
      <c r="C67" s="21"/>
      <c r="D67" s="21"/>
      <c r="E67" s="21"/>
      <c r="F67" s="6" t="str">
        <f aca="false">IF(COUNT(B67:E67)=0,"",SUM(B67:E67))</f>
        <v/>
      </c>
    </row>
    <row r="68" customFormat="false" ht="15" hidden="false" customHeight="true" outlineLevel="0" collapsed="false">
      <c r="A68" s="19"/>
      <c r="B68" s="21"/>
      <c r="C68" s="21"/>
      <c r="D68" s="21"/>
      <c r="E68" s="21"/>
      <c r="F68" s="6" t="str">
        <f aca="false">IF(COUNT(B68:E68)=0,"",SUM(B68:E68))</f>
        <v/>
      </c>
    </row>
    <row r="69" customFormat="false" ht="15" hidden="false" customHeight="true" outlineLevel="0" collapsed="false">
      <c r="A69" s="19"/>
      <c r="B69" s="21"/>
      <c r="C69" s="21"/>
      <c r="D69" s="21"/>
      <c r="E69" s="21"/>
      <c r="F69" s="6" t="str">
        <f aca="false">IF(COUNT(B69:E69)=0,"",SUM(B69:E69))</f>
        <v/>
      </c>
    </row>
    <row r="70" customFormat="false" ht="15" hidden="false" customHeight="true" outlineLevel="0" collapsed="false">
      <c r="A70" s="19"/>
      <c r="B70" s="21"/>
      <c r="C70" s="21"/>
      <c r="D70" s="21"/>
      <c r="E70" s="21"/>
      <c r="F70" s="6" t="str">
        <f aca="false">IF(COUNT(B70:E70)=0,"",SUM(B70:E70))</f>
        <v/>
      </c>
    </row>
    <row r="71" customFormat="false" ht="15" hidden="false" customHeight="true" outlineLevel="0" collapsed="false">
      <c r="A71" s="19"/>
      <c r="B71" s="21"/>
      <c r="C71" s="21"/>
      <c r="D71" s="21"/>
      <c r="E71" s="21"/>
      <c r="F71" s="6" t="str">
        <f aca="false">IF(COUNT(B71:E71)=0,"",SUM(B71:E71))</f>
        <v/>
      </c>
    </row>
    <row r="72" customFormat="false" ht="15" hidden="false" customHeight="true" outlineLevel="0" collapsed="false">
      <c r="A72" s="19"/>
      <c r="B72" s="21"/>
      <c r="C72" s="21"/>
      <c r="D72" s="21"/>
      <c r="E72" s="21"/>
      <c r="F72" s="6" t="str">
        <f aca="false">IF(COUNT(B72:E72)=0,"",SUM(B72:E72))</f>
        <v/>
      </c>
    </row>
    <row r="73" customFormat="false" ht="15" hidden="false" customHeight="true" outlineLevel="0" collapsed="false">
      <c r="A73" s="19"/>
      <c r="B73" s="21"/>
      <c r="C73" s="21"/>
      <c r="D73" s="21"/>
      <c r="E73" s="21"/>
      <c r="F73" s="6" t="str">
        <f aca="false">IF(COUNT(B73:E73)=0,"",SUM(B73:E73))</f>
        <v/>
      </c>
    </row>
    <row r="74" customFormat="false" ht="15" hidden="false" customHeight="true" outlineLevel="0" collapsed="false">
      <c r="A74" s="19"/>
      <c r="B74" s="21"/>
      <c r="C74" s="21"/>
      <c r="D74" s="21"/>
      <c r="E74" s="21"/>
      <c r="F74" s="6" t="str">
        <f aca="false">IF(COUNT(B74:E74)=0,"",SUM(B74:E74))</f>
        <v/>
      </c>
    </row>
    <row r="75" customFormat="false" ht="15" hidden="false" customHeight="true" outlineLevel="0" collapsed="false">
      <c r="A75" s="19"/>
      <c r="B75" s="21"/>
      <c r="C75" s="21"/>
      <c r="D75" s="21"/>
      <c r="E75" s="21"/>
      <c r="F75" s="6" t="str">
        <f aca="false">IF(COUNT(B75:E75)=0,"",SUM(B75:E75))</f>
        <v/>
      </c>
    </row>
    <row r="76" customFormat="false" ht="15" hidden="false" customHeight="true" outlineLevel="0" collapsed="false">
      <c r="A76" s="19"/>
      <c r="B76" s="21"/>
      <c r="C76" s="21"/>
      <c r="D76" s="21"/>
      <c r="E76" s="21"/>
      <c r="F76" s="6" t="str">
        <f aca="false">IF(COUNT(B76:E76)=0,"",SUM(B76:E76))</f>
        <v/>
      </c>
    </row>
    <row r="77" customFormat="false" ht="15" hidden="false" customHeight="true" outlineLevel="0" collapsed="false">
      <c r="A77" s="19"/>
      <c r="B77" s="21"/>
      <c r="C77" s="21"/>
      <c r="D77" s="21"/>
      <c r="E77" s="21"/>
      <c r="F77" s="6" t="str">
        <f aca="false">IF(COUNT(B77:E77)=0,"",SUM(B77:E77))</f>
        <v/>
      </c>
    </row>
    <row r="78" customFormat="false" ht="15" hidden="false" customHeight="true" outlineLevel="0" collapsed="false">
      <c r="A78" s="19"/>
      <c r="B78" s="21"/>
      <c r="C78" s="21"/>
      <c r="D78" s="21"/>
      <c r="E78" s="21"/>
      <c r="F78" s="6" t="str">
        <f aca="false">IF(COUNT(B78:E78)=0,"",SUM(B78:E78))</f>
        <v/>
      </c>
    </row>
    <row r="79" customFormat="false" ht="15" hidden="false" customHeight="true" outlineLevel="0" collapsed="false">
      <c r="A79" s="19"/>
      <c r="B79" s="21"/>
      <c r="C79" s="21"/>
      <c r="D79" s="21"/>
      <c r="E79" s="21"/>
      <c r="F79" s="6" t="str">
        <f aca="false">IF(COUNT(B79:E79)=0,"",SUM(B79:E79))</f>
        <v/>
      </c>
    </row>
    <row r="80" customFormat="false" ht="15" hidden="false" customHeight="true" outlineLevel="0" collapsed="false">
      <c r="A80" s="19"/>
      <c r="B80" s="21"/>
      <c r="C80" s="21"/>
      <c r="D80" s="21"/>
      <c r="E80" s="21"/>
      <c r="F80" s="6" t="str">
        <f aca="false">IF(COUNT(B80:E80)=0,"",SUM(B80:E80))</f>
        <v/>
      </c>
    </row>
    <row r="81" customFormat="false" ht="15" hidden="false" customHeight="true" outlineLevel="0" collapsed="false">
      <c r="A81" s="19"/>
      <c r="B81" s="21"/>
      <c r="C81" s="21"/>
      <c r="D81" s="21"/>
      <c r="E81" s="21"/>
      <c r="F81" s="6" t="str">
        <f aca="false">IF(COUNT(B81:E81)=0,"",SUM(B81:E81))</f>
        <v/>
      </c>
    </row>
    <row r="82" customFormat="false" ht="15" hidden="false" customHeight="true" outlineLevel="0" collapsed="false">
      <c r="A82" s="19"/>
      <c r="B82" s="21"/>
      <c r="C82" s="21"/>
      <c r="D82" s="21"/>
      <c r="E82" s="21"/>
      <c r="F82" s="6" t="str">
        <f aca="false">IF(COUNT(B82:E82)=0,"",SUM(B82:E82))</f>
        <v/>
      </c>
    </row>
    <row r="83" customFormat="false" ht="15" hidden="false" customHeight="true" outlineLevel="0" collapsed="false">
      <c r="A83" s="19"/>
      <c r="B83" s="21"/>
      <c r="C83" s="21"/>
      <c r="D83" s="21"/>
      <c r="E83" s="21"/>
      <c r="F83" s="6" t="str">
        <f aca="false">IF(COUNT(B83:E83)=0,"",SUM(B83:E83))</f>
        <v/>
      </c>
    </row>
    <row r="84" customFormat="false" ht="15" hidden="false" customHeight="true" outlineLevel="0" collapsed="false">
      <c r="A84" s="19"/>
      <c r="B84" s="21"/>
      <c r="C84" s="21"/>
      <c r="D84" s="21"/>
      <c r="E84" s="21"/>
      <c r="F84" s="6" t="str">
        <f aca="false">IF(COUNT(B84:E84)=0,"",SUM(B84:E84))</f>
        <v/>
      </c>
    </row>
    <row r="85" customFormat="false" ht="15" hidden="false" customHeight="true" outlineLevel="0" collapsed="false">
      <c r="A85" s="19"/>
      <c r="B85" s="21"/>
      <c r="C85" s="21"/>
      <c r="D85" s="21"/>
      <c r="E85" s="21"/>
      <c r="F85" s="6" t="str">
        <f aca="false">IF(COUNT(B85:E85)=0,"",SUM(B85:E85))</f>
        <v/>
      </c>
    </row>
    <row r="86" customFormat="false" ht="15" hidden="false" customHeight="true" outlineLevel="0" collapsed="false">
      <c r="A86" s="19"/>
      <c r="B86" s="21"/>
      <c r="C86" s="21"/>
      <c r="D86" s="21"/>
      <c r="E86" s="21"/>
      <c r="F86" s="6" t="str">
        <f aca="false">IF(COUNT(B86:E86)=0,"",SUM(B86:E86))</f>
        <v/>
      </c>
    </row>
    <row r="87" customFormat="false" ht="15" hidden="false" customHeight="true" outlineLevel="0" collapsed="false">
      <c r="A87" s="19"/>
      <c r="B87" s="21"/>
      <c r="C87" s="21"/>
      <c r="D87" s="21"/>
      <c r="E87" s="21"/>
      <c r="F87" s="6" t="str">
        <f aca="false">IF(COUNT(B87:E87)=0,"",SUM(B87:E87))</f>
        <v/>
      </c>
    </row>
    <row r="88" customFormat="false" ht="15" hidden="false" customHeight="true" outlineLevel="0" collapsed="false">
      <c r="A88" s="19"/>
      <c r="B88" s="21"/>
      <c r="C88" s="21"/>
      <c r="D88" s="21"/>
      <c r="E88" s="21"/>
      <c r="F88" s="6" t="str">
        <f aca="false">IF(COUNT(B88:E88)=0,"",SUM(B88:E88))</f>
        <v/>
      </c>
    </row>
    <row r="89" customFormat="false" ht="15" hidden="false" customHeight="true" outlineLevel="0" collapsed="false">
      <c r="A89" s="19"/>
      <c r="B89" s="21"/>
      <c r="C89" s="21"/>
      <c r="D89" s="21"/>
      <c r="E89" s="21"/>
      <c r="F89" s="6" t="str">
        <f aca="false">IF(COUNT(B89:E89)=0,"",SUM(B89:E89))</f>
        <v/>
      </c>
    </row>
    <row r="90" customFormat="false" ht="15" hidden="false" customHeight="true" outlineLevel="0" collapsed="false">
      <c r="A90" s="19"/>
      <c r="B90" s="21"/>
      <c r="C90" s="21"/>
      <c r="D90" s="21"/>
      <c r="E90" s="21"/>
      <c r="F90" s="6" t="str">
        <f aca="false">IF(COUNT(B90:E90)=0,"",SUM(B90:E90))</f>
        <v/>
      </c>
    </row>
    <row r="91" customFormat="false" ht="15" hidden="false" customHeight="true" outlineLevel="0" collapsed="false">
      <c r="A91" s="19"/>
      <c r="B91" s="21"/>
      <c r="C91" s="21"/>
      <c r="D91" s="21"/>
      <c r="E91" s="21"/>
      <c r="F91" s="6" t="str">
        <f aca="false">IF(COUNT(B91:E91)=0,"",SUM(B91:E91))</f>
        <v/>
      </c>
    </row>
    <row r="92" customFormat="false" ht="15" hidden="false" customHeight="true" outlineLevel="0" collapsed="false">
      <c r="A92" s="19"/>
      <c r="B92" s="21"/>
      <c r="C92" s="21"/>
      <c r="D92" s="21"/>
      <c r="E92" s="21"/>
      <c r="F92" s="6" t="str">
        <f aca="false">IF(COUNT(B92:E92)=0,"",SUM(B92:E92))</f>
        <v/>
      </c>
    </row>
    <row r="93" customFormat="false" ht="15" hidden="false" customHeight="true" outlineLevel="0" collapsed="false">
      <c r="A93" s="19"/>
      <c r="B93" s="21"/>
      <c r="C93" s="21"/>
      <c r="D93" s="21"/>
      <c r="E93" s="21"/>
      <c r="F93" s="6" t="str">
        <f aca="false">IF(COUNT(B93:E93)=0,"",SUM(B93:E93))</f>
        <v/>
      </c>
    </row>
    <row r="94" customFormat="false" ht="15" hidden="false" customHeight="true" outlineLevel="0" collapsed="false">
      <c r="A94" s="19"/>
      <c r="B94" s="21"/>
      <c r="C94" s="21"/>
      <c r="D94" s="21"/>
      <c r="E94" s="21"/>
      <c r="F94" s="6" t="str">
        <f aca="false">IF(COUNT(B94:E94)=0,"",SUM(B94:E94))</f>
        <v/>
      </c>
    </row>
    <row r="95" customFormat="false" ht="15" hidden="false" customHeight="true" outlineLevel="0" collapsed="false">
      <c r="A95" s="19"/>
      <c r="B95" s="21"/>
      <c r="C95" s="21"/>
      <c r="D95" s="21"/>
      <c r="E95" s="21"/>
      <c r="F95" s="6" t="str">
        <f aca="false">IF(COUNT(B95:E95)=0,"",SUM(B95:E95))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9" min="8" style="0" width="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30"/>
    <col collapsed="false" customWidth="true" hidden="false" outlineLevel="0" max="16" min="16" style="0" width="24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22" t="s">
        <v>52</v>
      </c>
    </row>
    <row r="2" customFormat="false" ht="15" hidden="false" customHeight="false" outlineLevel="0" collapsed="false">
      <c r="A2" s="23" t="s">
        <v>53</v>
      </c>
    </row>
    <row r="3" customFormat="false" ht="15" hidden="false" customHeight="false" outlineLevel="0" collapsed="false">
      <c r="A3" s="24" t="s">
        <v>54</v>
      </c>
    </row>
    <row r="5" customFormat="false" ht="15" hidden="false" customHeight="false" outlineLevel="0" collapsed="false">
      <c r="A5" s="14" t="s">
        <v>31</v>
      </c>
      <c r="B5" s="14" t="s">
        <v>33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4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39</v>
      </c>
      <c r="P5" s="25" t="s">
        <v>65</v>
      </c>
    </row>
    <row r="6" customFormat="false" ht="15" hidden="false" customHeight="false" outlineLevel="0" collapsed="false">
      <c r="A6" s="26" t="s">
        <v>40</v>
      </c>
      <c r="B6" s="26" t="s">
        <v>42</v>
      </c>
      <c r="C6" s="26" t="s">
        <v>66</v>
      </c>
      <c r="D6" s="26" t="s">
        <v>67</v>
      </c>
      <c r="E6" s="26" t="s">
        <v>68</v>
      </c>
      <c r="F6" s="26"/>
      <c r="G6" s="26" t="s">
        <v>69</v>
      </c>
      <c r="H6" s="26" t="n">
        <v>9</v>
      </c>
      <c r="I6" s="26" t="n">
        <v>4.8</v>
      </c>
      <c r="J6" s="26" t="s">
        <v>70</v>
      </c>
      <c r="K6" s="26"/>
      <c r="L6" s="26"/>
      <c r="M6" s="26" t="s">
        <v>71</v>
      </c>
      <c r="N6" s="24" t="s">
        <v>72</v>
      </c>
      <c r="P6" s="27" t="s">
        <v>73</v>
      </c>
      <c r="Q6" s="28" t="n">
        <f aca="false">COUNTA($E$7:$E$306)</f>
        <v>0</v>
      </c>
    </row>
    <row r="7" customFormat="false" ht="15" hidden="false" customHeight="false" outlineLevel="0" collapsed="false">
      <c r="A7" s="29"/>
      <c r="B7" s="30"/>
      <c r="C7" s="30"/>
      <c r="D7" s="30"/>
      <c r="E7" s="30"/>
      <c r="F7" s="28" t="str">
        <f aca="false">IF($E7="","",IF(AND(ISNUMBER(FIND("@",$E7)),ISNUMBER(FIND(".",$E7,FIND("@",$E7)))),"ok","revisar"))</f>
        <v/>
      </c>
      <c r="G7" s="30"/>
      <c r="H7" s="30"/>
      <c r="I7" s="31"/>
      <c r="J7" s="30"/>
      <c r="K7" s="29"/>
      <c r="L7" s="30"/>
      <c r="M7" s="30"/>
      <c r="P7" s="27" t="s">
        <v>74</v>
      </c>
      <c r="Q7" s="28" t="n">
        <f aca="false">COUNTIF($F$7:$F$306,"ok")</f>
        <v>0</v>
      </c>
    </row>
    <row r="8" customFormat="false" ht="15" hidden="false" customHeight="false" outlineLevel="0" collapsed="false">
      <c r="A8" s="29"/>
      <c r="B8" s="30"/>
      <c r="C8" s="30"/>
      <c r="D8" s="30"/>
      <c r="E8" s="30"/>
      <c r="F8" s="28" t="str">
        <f aca="false">IF($E8="","",IF(AND(ISNUMBER(FIND("@",$E8)),ISNUMBER(FIND(".",$E8,FIND("@",$E8)))),"ok","revisar"))</f>
        <v/>
      </c>
      <c r="G8" s="30"/>
      <c r="H8" s="30"/>
      <c r="I8" s="31"/>
      <c r="J8" s="30"/>
      <c r="K8" s="29"/>
      <c r="L8" s="30"/>
      <c r="M8" s="30"/>
      <c r="P8" s="27" t="s">
        <v>75</v>
      </c>
      <c r="Q8" s="28" t="n">
        <f aca="false">COUNTIF($J$7:$J$306,"enviado")+COUNTIF($J$7:$J$306,"respondió")+COUNTIF($J$7:$J$306,"vendido")</f>
        <v>0</v>
      </c>
    </row>
    <row r="9" customFormat="false" ht="15" hidden="false" customHeight="false" outlineLevel="0" collapsed="false">
      <c r="A9" s="29"/>
      <c r="B9" s="30"/>
      <c r="C9" s="30"/>
      <c r="D9" s="30"/>
      <c r="E9" s="30"/>
      <c r="F9" s="28" t="str">
        <f aca="false">IF($E9="","",IF(AND(ISNUMBER(FIND("@",$E9)),ISNUMBER(FIND(".",$E9,FIND("@",$E9)))),"ok","revisar"))</f>
        <v/>
      </c>
      <c r="G9" s="30"/>
      <c r="H9" s="30"/>
      <c r="I9" s="31"/>
      <c r="J9" s="30"/>
      <c r="K9" s="29"/>
      <c r="L9" s="30"/>
      <c r="M9" s="30"/>
      <c r="P9" s="27" t="s">
        <v>76</v>
      </c>
      <c r="Q9" s="28" t="n">
        <f aca="false">COUNTIF($J$7:$J$306,"rebotó")</f>
        <v>0</v>
      </c>
    </row>
    <row r="10" customFormat="false" ht="15" hidden="false" customHeight="false" outlineLevel="0" collapsed="false">
      <c r="A10" s="29"/>
      <c r="B10" s="30"/>
      <c r="C10" s="30"/>
      <c r="D10" s="30"/>
      <c r="E10" s="30"/>
      <c r="F10" s="28" t="str">
        <f aca="false">IF($E10="","",IF(AND(ISNUMBER(FIND("@",$E10)),ISNUMBER(FIND(".",$E10,FIND("@",$E10)))),"ok","revisar"))</f>
        <v/>
      </c>
      <c r="G10" s="30"/>
      <c r="H10" s="30"/>
      <c r="I10" s="31"/>
      <c r="J10" s="30"/>
      <c r="K10" s="29"/>
      <c r="L10" s="30"/>
      <c r="M10" s="30"/>
      <c r="P10" s="27" t="s">
        <v>77</v>
      </c>
      <c r="Q10" s="28" t="n">
        <f aca="false">COUNTIF($L$7:$L$306,"Sí")</f>
        <v>0</v>
      </c>
    </row>
    <row r="11" customFormat="false" ht="15" hidden="false" customHeight="false" outlineLevel="0" collapsed="false">
      <c r="A11" s="29"/>
      <c r="B11" s="30"/>
      <c r="C11" s="30"/>
      <c r="D11" s="30"/>
      <c r="E11" s="30"/>
      <c r="F11" s="28" t="str">
        <f aca="false">IF($E11="","",IF(AND(ISNUMBER(FIND("@",$E11)),ISNUMBER(FIND(".",$E11,FIND("@",$E11)))),"ok","revisar"))</f>
        <v/>
      </c>
      <c r="G11" s="30"/>
      <c r="H11" s="30"/>
      <c r="I11" s="31"/>
      <c r="J11" s="30"/>
      <c r="K11" s="29"/>
      <c r="L11" s="30"/>
      <c r="M11" s="30"/>
      <c r="P11" s="27" t="s">
        <v>78</v>
      </c>
      <c r="Q11" s="28" t="n">
        <f aca="false">COUNTIF($J$7:$J$306,"vendido")</f>
        <v>0</v>
      </c>
    </row>
    <row r="12" customFormat="false" ht="15" hidden="false" customHeight="false" outlineLevel="0" collapsed="false">
      <c r="A12" s="29"/>
      <c r="B12" s="30"/>
      <c r="C12" s="30"/>
      <c r="D12" s="30"/>
      <c r="E12" s="30"/>
      <c r="F12" s="28" t="str">
        <f aca="false">IF($E12="","",IF(AND(ISNUMBER(FIND("@",$E12)),ISNUMBER(FIND(".",$E12,FIND("@",$E12)))),"ok","revisar"))</f>
        <v/>
      </c>
      <c r="G12" s="30"/>
      <c r="H12" s="30"/>
      <c r="I12" s="31"/>
      <c r="J12" s="30"/>
      <c r="K12" s="29"/>
      <c r="L12" s="30"/>
      <c r="M12" s="30"/>
    </row>
    <row r="13" customFormat="false" ht="15" hidden="false" customHeight="false" outlineLevel="0" collapsed="false">
      <c r="A13" s="29"/>
      <c r="B13" s="30"/>
      <c r="C13" s="30"/>
      <c r="D13" s="30"/>
      <c r="E13" s="30"/>
      <c r="F13" s="28" t="str">
        <f aca="false">IF($E13="","",IF(AND(ISNUMBER(FIND("@",$E13)),ISNUMBER(FIND(".",$E13,FIND("@",$E13)))),"ok","revisar"))</f>
        <v/>
      </c>
      <c r="G13" s="30"/>
      <c r="H13" s="30"/>
      <c r="I13" s="31"/>
      <c r="J13" s="30"/>
      <c r="K13" s="29"/>
      <c r="L13" s="30"/>
      <c r="M13" s="30"/>
      <c r="P13" s="32" t="s">
        <v>79</v>
      </c>
      <c r="Q13" s="33" t="str">
        <f aca="false">IF($Q$8=0,"-",$Q$10/$Q$8)</f>
        <v>-</v>
      </c>
    </row>
    <row r="14" customFormat="false" ht="15" hidden="false" customHeight="false" outlineLevel="0" collapsed="false">
      <c r="A14" s="29"/>
      <c r="B14" s="30"/>
      <c r="C14" s="30"/>
      <c r="D14" s="30"/>
      <c r="E14" s="30"/>
      <c r="F14" s="28" t="str">
        <f aca="false">IF($E14="","",IF(AND(ISNUMBER(FIND("@",$E14)),ISNUMBER(FIND(".",$E14,FIND("@",$E14)))),"ok","revisar"))</f>
        <v/>
      </c>
      <c r="G14" s="30"/>
      <c r="H14" s="30"/>
      <c r="I14" s="31"/>
      <c r="J14" s="30"/>
      <c r="K14" s="29"/>
      <c r="L14" s="30"/>
      <c r="M14" s="30"/>
    </row>
    <row r="15" customFormat="false" ht="15" hidden="false" customHeight="false" outlineLevel="0" collapsed="false">
      <c r="A15" s="29"/>
      <c r="B15" s="30"/>
      <c r="C15" s="30"/>
      <c r="D15" s="30"/>
      <c r="E15" s="30"/>
      <c r="F15" s="28" t="str">
        <f aca="false">IF($E15="","",IF(AND(ISNUMBER(FIND("@",$E15)),ISNUMBER(FIND(".",$E15,FIND("@",$E15)))),"ok","revisar"))</f>
        <v/>
      </c>
      <c r="G15" s="30"/>
      <c r="H15" s="30"/>
      <c r="I15" s="31"/>
      <c r="J15" s="30"/>
      <c r="K15" s="29"/>
      <c r="L15" s="30"/>
      <c r="M15" s="30"/>
      <c r="P15" s="34" t="s">
        <v>80</v>
      </c>
    </row>
    <row r="16" customFormat="false" ht="15" hidden="false" customHeight="false" outlineLevel="0" collapsed="false">
      <c r="A16" s="29"/>
      <c r="B16" s="30"/>
      <c r="C16" s="30"/>
      <c r="D16" s="30"/>
      <c r="E16" s="30"/>
      <c r="F16" s="28" t="str">
        <f aca="false">IF($E16="","",IF(AND(ISNUMBER(FIND("@",$E16)),ISNUMBER(FIND(".",$E16,FIND("@",$E16)))),"ok","revisar"))</f>
        <v/>
      </c>
      <c r="G16" s="30"/>
      <c r="H16" s="30"/>
      <c r="I16" s="31"/>
      <c r="J16" s="30"/>
      <c r="K16" s="29"/>
      <c r="L16" s="30"/>
      <c r="M16" s="30"/>
      <c r="P16" s="34" t="s">
        <v>81</v>
      </c>
    </row>
    <row r="17" customFormat="false" ht="15" hidden="false" customHeight="false" outlineLevel="0" collapsed="false">
      <c r="A17" s="29"/>
      <c r="B17" s="30"/>
      <c r="C17" s="30"/>
      <c r="D17" s="30"/>
      <c r="E17" s="30"/>
      <c r="F17" s="28" t="str">
        <f aca="false">IF($E17="","",IF(AND(ISNUMBER(FIND("@",$E17)),ISNUMBER(FIND(".",$E17,FIND("@",$E17)))),"ok","revisar"))</f>
        <v/>
      </c>
      <c r="G17" s="30"/>
      <c r="H17" s="30"/>
      <c r="I17" s="31"/>
      <c r="J17" s="30"/>
      <c r="K17" s="29"/>
      <c r="L17" s="30"/>
      <c r="M17" s="30"/>
    </row>
    <row r="18" customFormat="false" ht="15" hidden="false" customHeight="false" outlineLevel="0" collapsed="false">
      <c r="A18" s="29"/>
      <c r="B18" s="30"/>
      <c r="C18" s="30"/>
      <c r="D18" s="30"/>
      <c r="E18" s="30"/>
      <c r="F18" s="28" t="str">
        <f aca="false">IF($E18="","",IF(AND(ISNUMBER(FIND("@",$E18)),ISNUMBER(FIND(".",$E18,FIND("@",$E18)))),"ok","revisar"))</f>
        <v/>
      </c>
      <c r="G18" s="30"/>
      <c r="H18" s="30"/>
      <c r="I18" s="31"/>
      <c r="J18" s="30"/>
      <c r="K18" s="29"/>
      <c r="L18" s="30"/>
      <c r="M18" s="30"/>
    </row>
    <row r="19" customFormat="false" ht="15" hidden="false" customHeight="false" outlineLevel="0" collapsed="false">
      <c r="A19" s="29"/>
      <c r="B19" s="30"/>
      <c r="C19" s="30"/>
      <c r="D19" s="30"/>
      <c r="E19" s="30"/>
      <c r="F19" s="28" t="str">
        <f aca="false">IF($E19="","",IF(AND(ISNUMBER(FIND("@",$E19)),ISNUMBER(FIND(".",$E19,FIND("@",$E19)))),"ok","revisar"))</f>
        <v/>
      </c>
      <c r="G19" s="30"/>
      <c r="H19" s="30"/>
      <c r="I19" s="31"/>
      <c r="J19" s="30"/>
      <c r="K19" s="29"/>
      <c r="L19" s="30"/>
      <c r="M19" s="30"/>
    </row>
    <row r="20" customFormat="false" ht="15" hidden="false" customHeight="false" outlineLevel="0" collapsed="false">
      <c r="A20" s="29"/>
      <c r="B20" s="30"/>
      <c r="C20" s="30"/>
      <c r="D20" s="30"/>
      <c r="E20" s="30"/>
      <c r="F20" s="28" t="str">
        <f aca="false">IF($E20="","",IF(AND(ISNUMBER(FIND("@",$E20)),ISNUMBER(FIND(".",$E20,FIND("@",$E20)))),"ok","revisar"))</f>
        <v/>
      </c>
      <c r="G20" s="30"/>
      <c r="H20" s="30"/>
      <c r="I20" s="31"/>
      <c r="J20" s="30"/>
      <c r="K20" s="29"/>
      <c r="L20" s="30"/>
      <c r="M20" s="30"/>
    </row>
    <row r="21" customFormat="false" ht="15" hidden="false" customHeight="false" outlineLevel="0" collapsed="false">
      <c r="A21" s="29"/>
      <c r="B21" s="30"/>
      <c r="C21" s="30"/>
      <c r="D21" s="30"/>
      <c r="E21" s="30"/>
      <c r="F21" s="28" t="str">
        <f aca="false">IF($E21="","",IF(AND(ISNUMBER(FIND("@",$E21)),ISNUMBER(FIND(".",$E21,FIND("@",$E21)))),"ok","revisar"))</f>
        <v/>
      </c>
      <c r="G21" s="30"/>
      <c r="H21" s="30"/>
      <c r="I21" s="31"/>
      <c r="J21" s="30"/>
      <c r="K21" s="29"/>
      <c r="L21" s="30"/>
      <c r="M21" s="30"/>
    </row>
    <row r="22" customFormat="false" ht="15" hidden="false" customHeight="false" outlineLevel="0" collapsed="false">
      <c r="A22" s="29"/>
      <c r="B22" s="30"/>
      <c r="C22" s="30"/>
      <c r="D22" s="30"/>
      <c r="E22" s="30"/>
      <c r="F22" s="28" t="str">
        <f aca="false">IF($E22="","",IF(AND(ISNUMBER(FIND("@",$E22)),ISNUMBER(FIND(".",$E22,FIND("@",$E22)))),"ok","revisar"))</f>
        <v/>
      </c>
      <c r="G22" s="30"/>
      <c r="H22" s="30"/>
      <c r="I22" s="31"/>
      <c r="J22" s="30"/>
      <c r="K22" s="29"/>
      <c r="L22" s="30"/>
      <c r="M22" s="30"/>
    </row>
    <row r="23" customFormat="false" ht="15" hidden="false" customHeight="false" outlineLevel="0" collapsed="false">
      <c r="A23" s="29"/>
      <c r="B23" s="30"/>
      <c r="C23" s="30"/>
      <c r="D23" s="30"/>
      <c r="E23" s="30"/>
      <c r="F23" s="28" t="str">
        <f aca="false">IF($E23="","",IF(AND(ISNUMBER(FIND("@",$E23)),ISNUMBER(FIND(".",$E23,FIND("@",$E23)))),"ok","revisar"))</f>
        <v/>
      </c>
      <c r="G23" s="30"/>
      <c r="H23" s="30"/>
      <c r="I23" s="31"/>
      <c r="J23" s="30"/>
      <c r="K23" s="29"/>
      <c r="L23" s="30"/>
      <c r="M23" s="30"/>
    </row>
    <row r="24" customFormat="false" ht="15" hidden="false" customHeight="false" outlineLevel="0" collapsed="false">
      <c r="A24" s="29"/>
      <c r="B24" s="30"/>
      <c r="C24" s="30"/>
      <c r="D24" s="30"/>
      <c r="E24" s="30"/>
      <c r="F24" s="28" t="str">
        <f aca="false">IF($E24="","",IF(AND(ISNUMBER(FIND("@",$E24)),ISNUMBER(FIND(".",$E24,FIND("@",$E24)))),"ok","revisar"))</f>
        <v/>
      </c>
      <c r="G24" s="30"/>
      <c r="H24" s="30"/>
      <c r="I24" s="31"/>
      <c r="J24" s="30"/>
      <c r="K24" s="29"/>
      <c r="L24" s="30"/>
      <c r="M24" s="30"/>
    </row>
    <row r="25" customFormat="false" ht="15" hidden="false" customHeight="false" outlineLevel="0" collapsed="false">
      <c r="A25" s="29"/>
      <c r="B25" s="30"/>
      <c r="C25" s="30"/>
      <c r="D25" s="30"/>
      <c r="E25" s="30"/>
      <c r="F25" s="28" t="str">
        <f aca="false">IF($E25="","",IF(AND(ISNUMBER(FIND("@",$E25)),ISNUMBER(FIND(".",$E25,FIND("@",$E25)))),"ok","revisar"))</f>
        <v/>
      </c>
      <c r="G25" s="30"/>
      <c r="H25" s="30"/>
      <c r="I25" s="31"/>
      <c r="J25" s="30"/>
      <c r="K25" s="29"/>
      <c r="L25" s="30"/>
      <c r="M25" s="30"/>
    </row>
    <row r="26" customFormat="false" ht="15" hidden="false" customHeight="false" outlineLevel="0" collapsed="false">
      <c r="A26" s="29"/>
      <c r="B26" s="30"/>
      <c r="C26" s="30"/>
      <c r="D26" s="30"/>
      <c r="E26" s="30"/>
      <c r="F26" s="28" t="str">
        <f aca="false">IF($E26="","",IF(AND(ISNUMBER(FIND("@",$E26)),ISNUMBER(FIND(".",$E26,FIND("@",$E26)))),"ok","revisar"))</f>
        <v/>
      </c>
      <c r="G26" s="30"/>
      <c r="H26" s="30"/>
      <c r="I26" s="31"/>
      <c r="J26" s="30"/>
      <c r="K26" s="29"/>
      <c r="L26" s="30"/>
      <c r="M26" s="30"/>
    </row>
    <row r="27" customFormat="false" ht="15" hidden="false" customHeight="false" outlineLevel="0" collapsed="false">
      <c r="A27" s="29"/>
      <c r="B27" s="30"/>
      <c r="C27" s="30"/>
      <c r="D27" s="30"/>
      <c r="E27" s="30"/>
      <c r="F27" s="28" t="str">
        <f aca="false">IF($E27="","",IF(AND(ISNUMBER(FIND("@",$E27)),ISNUMBER(FIND(".",$E27,FIND("@",$E27)))),"ok","revisar"))</f>
        <v/>
      </c>
      <c r="G27" s="30"/>
      <c r="H27" s="30"/>
      <c r="I27" s="31"/>
      <c r="J27" s="30"/>
      <c r="K27" s="29"/>
      <c r="L27" s="30"/>
      <c r="M27" s="30"/>
    </row>
    <row r="28" customFormat="false" ht="15" hidden="false" customHeight="false" outlineLevel="0" collapsed="false">
      <c r="A28" s="29"/>
      <c r="B28" s="30"/>
      <c r="C28" s="30"/>
      <c r="D28" s="30"/>
      <c r="E28" s="30"/>
      <c r="F28" s="28" t="str">
        <f aca="false">IF($E28="","",IF(AND(ISNUMBER(FIND("@",$E28)),ISNUMBER(FIND(".",$E28,FIND("@",$E28)))),"ok","revisar"))</f>
        <v/>
      </c>
      <c r="G28" s="30"/>
      <c r="H28" s="30"/>
      <c r="I28" s="31"/>
      <c r="J28" s="30"/>
      <c r="K28" s="29"/>
      <c r="L28" s="30"/>
      <c r="M28" s="30"/>
    </row>
    <row r="29" customFormat="false" ht="15" hidden="false" customHeight="false" outlineLevel="0" collapsed="false">
      <c r="A29" s="29"/>
      <c r="B29" s="30"/>
      <c r="C29" s="30"/>
      <c r="D29" s="30"/>
      <c r="E29" s="30"/>
      <c r="F29" s="28" t="str">
        <f aca="false">IF($E29="","",IF(AND(ISNUMBER(FIND("@",$E29)),ISNUMBER(FIND(".",$E29,FIND("@",$E29)))),"ok","revisar"))</f>
        <v/>
      </c>
      <c r="G29" s="30"/>
      <c r="H29" s="30"/>
      <c r="I29" s="31"/>
      <c r="J29" s="30"/>
      <c r="K29" s="29"/>
      <c r="L29" s="30"/>
      <c r="M29" s="30"/>
    </row>
    <row r="30" customFormat="false" ht="15" hidden="false" customHeight="false" outlineLevel="0" collapsed="false">
      <c r="A30" s="29"/>
      <c r="B30" s="30"/>
      <c r="C30" s="30"/>
      <c r="D30" s="30"/>
      <c r="E30" s="30"/>
      <c r="F30" s="28" t="str">
        <f aca="false">IF($E30="","",IF(AND(ISNUMBER(FIND("@",$E30)),ISNUMBER(FIND(".",$E30,FIND("@",$E30)))),"ok","revisar"))</f>
        <v/>
      </c>
      <c r="G30" s="30"/>
      <c r="H30" s="30"/>
      <c r="I30" s="31"/>
      <c r="J30" s="30"/>
      <c r="K30" s="29"/>
      <c r="L30" s="30"/>
      <c r="M30" s="30"/>
    </row>
    <row r="31" customFormat="false" ht="15" hidden="false" customHeight="false" outlineLevel="0" collapsed="false">
      <c r="A31" s="29"/>
      <c r="B31" s="30"/>
      <c r="C31" s="30"/>
      <c r="D31" s="30"/>
      <c r="E31" s="30"/>
      <c r="F31" s="28" t="str">
        <f aca="false">IF($E31="","",IF(AND(ISNUMBER(FIND("@",$E31)),ISNUMBER(FIND(".",$E31,FIND("@",$E31)))),"ok","revisar"))</f>
        <v/>
      </c>
      <c r="G31" s="30"/>
      <c r="H31" s="30"/>
      <c r="I31" s="31"/>
      <c r="J31" s="30"/>
      <c r="K31" s="29"/>
      <c r="L31" s="30"/>
      <c r="M31" s="30"/>
    </row>
    <row r="32" customFormat="false" ht="15" hidden="false" customHeight="false" outlineLevel="0" collapsed="false">
      <c r="A32" s="29"/>
      <c r="B32" s="30"/>
      <c r="C32" s="30"/>
      <c r="D32" s="30"/>
      <c r="E32" s="30"/>
      <c r="F32" s="28" t="str">
        <f aca="false">IF($E32="","",IF(AND(ISNUMBER(FIND("@",$E32)),ISNUMBER(FIND(".",$E32,FIND("@",$E32)))),"ok","revisar"))</f>
        <v/>
      </c>
      <c r="G32" s="30"/>
      <c r="H32" s="30"/>
      <c r="I32" s="31"/>
      <c r="J32" s="30"/>
      <c r="K32" s="29"/>
      <c r="L32" s="30"/>
      <c r="M32" s="30"/>
    </row>
    <row r="33" customFormat="false" ht="15" hidden="false" customHeight="false" outlineLevel="0" collapsed="false">
      <c r="A33" s="29"/>
      <c r="B33" s="30"/>
      <c r="C33" s="30"/>
      <c r="D33" s="30"/>
      <c r="E33" s="30"/>
      <c r="F33" s="28" t="str">
        <f aca="false">IF($E33="","",IF(AND(ISNUMBER(FIND("@",$E33)),ISNUMBER(FIND(".",$E33,FIND("@",$E33)))),"ok","revisar"))</f>
        <v/>
      </c>
      <c r="G33" s="30"/>
      <c r="H33" s="30"/>
      <c r="I33" s="31"/>
      <c r="J33" s="30"/>
      <c r="K33" s="29"/>
      <c r="L33" s="30"/>
      <c r="M33" s="30"/>
    </row>
    <row r="34" customFormat="false" ht="15" hidden="false" customHeight="false" outlineLevel="0" collapsed="false">
      <c r="A34" s="29"/>
      <c r="B34" s="30"/>
      <c r="C34" s="30"/>
      <c r="D34" s="30"/>
      <c r="E34" s="30"/>
      <c r="F34" s="28" t="str">
        <f aca="false">IF($E34="","",IF(AND(ISNUMBER(FIND("@",$E34)),ISNUMBER(FIND(".",$E34,FIND("@",$E34)))),"ok","revisar"))</f>
        <v/>
      </c>
      <c r="G34" s="30"/>
      <c r="H34" s="30"/>
      <c r="I34" s="31"/>
      <c r="J34" s="30"/>
      <c r="K34" s="29"/>
      <c r="L34" s="30"/>
      <c r="M34" s="30"/>
    </row>
    <row r="35" customFormat="false" ht="15" hidden="false" customHeight="false" outlineLevel="0" collapsed="false">
      <c r="A35" s="29"/>
      <c r="B35" s="30"/>
      <c r="C35" s="30"/>
      <c r="D35" s="30"/>
      <c r="E35" s="30"/>
      <c r="F35" s="28" t="str">
        <f aca="false">IF($E35="","",IF(AND(ISNUMBER(FIND("@",$E35)),ISNUMBER(FIND(".",$E35,FIND("@",$E35)))),"ok","revisar"))</f>
        <v/>
      </c>
      <c r="G35" s="30"/>
      <c r="H35" s="30"/>
      <c r="I35" s="31"/>
      <c r="J35" s="30"/>
      <c r="K35" s="29"/>
      <c r="L35" s="30"/>
      <c r="M35" s="30"/>
    </row>
    <row r="36" customFormat="false" ht="15" hidden="false" customHeight="false" outlineLevel="0" collapsed="false">
      <c r="A36" s="29"/>
      <c r="B36" s="30"/>
      <c r="C36" s="30"/>
      <c r="D36" s="30"/>
      <c r="E36" s="30"/>
      <c r="F36" s="28" t="str">
        <f aca="false">IF($E36="","",IF(AND(ISNUMBER(FIND("@",$E36)),ISNUMBER(FIND(".",$E36,FIND("@",$E36)))),"ok","revisar"))</f>
        <v/>
      </c>
      <c r="G36" s="30"/>
      <c r="H36" s="30"/>
      <c r="I36" s="31"/>
      <c r="J36" s="30"/>
      <c r="K36" s="29"/>
      <c r="L36" s="30"/>
      <c r="M36" s="30"/>
    </row>
    <row r="37" customFormat="false" ht="15" hidden="false" customHeight="false" outlineLevel="0" collapsed="false">
      <c r="A37" s="29"/>
      <c r="B37" s="30"/>
      <c r="C37" s="30"/>
      <c r="D37" s="30"/>
      <c r="E37" s="30"/>
      <c r="F37" s="28" t="str">
        <f aca="false">IF($E37="","",IF(AND(ISNUMBER(FIND("@",$E37)),ISNUMBER(FIND(".",$E37,FIND("@",$E37)))),"ok","revisar"))</f>
        <v/>
      </c>
      <c r="G37" s="30"/>
      <c r="H37" s="30"/>
      <c r="I37" s="31"/>
      <c r="J37" s="30"/>
      <c r="K37" s="29"/>
      <c r="L37" s="30"/>
      <c r="M37" s="30"/>
    </row>
    <row r="38" customFormat="false" ht="15" hidden="false" customHeight="false" outlineLevel="0" collapsed="false">
      <c r="A38" s="29"/>
      <c r="B38" s="30"/>
      <c r="C38" s="30"/>
      <c r="D38" s="30"/>
      <c r="E38" s="30"/>
      <c r="F38" s="28" t="str">
        <f aca="false">IF($E38="","",IF(AND(ISNUMBER(FIND("@",$E38)),ISNUMBER(FIND(".",$E38,FIND("@",$E38)))),"ok","revisar"))</f>
        <v/>
      </c>
      <c r="G38" s="30"/>
      <c r="H38" s="30"/>
      <c r="I38" s="31"/>
      <c r="J38" s="30"/>
      <c r="K38" s="29"/>
      <c r="L38" s="30"/>
      <c r="M38" s="30"/>
    </row>
    <row r="39" customFormat="false" ht="15" hidden="false" customHeight="false" outlineLevel="0" collapsed="false">
      <c r="A39" s="29"/>
      <c r="B39" s="30"/>
      <c r="C39" s="30"/>
      <c r="D39" s="30"/>
      <c r="E39" s="30"/>
      <c r="F39" s="28" t="str">
        <f aca="false">IF($E39="","",IF(AND(ISNUMBER(FIND("@",$E39)),ISNUMBER(FIND(".",$E39,FIND("@",$E39)))),"ok","revisar"))</f>
        <v/>
      </c>
      <c r="G39" s="30"/>
      <c r="H39" s="30"/>
      <c r="I39" s="31"/>
      <c r="J39" s="30"/>
      <c r="K39" s="29"/>
      <c r="L39" s="30"/>
      <c r="M39" s="30"/>
    </row>
    <row r="40" customFormat="false" ht="15" hidden="false" customHeight="false" outlineLevel="0" collapsed="false">
      <c r="A40" s="29"/>
      <c r="B40" s="30"/>
      <c r="C40" s="30"/>
      <c r="D40" s="30"/>
      <c r="E40" s="30"/>
      <c r="F40" s="28" t="str">
        <f aca="false">IF($E40="","",IF(AND(ISNUMBER(FIND("@",$E40)),ISNUMBER(FIND(".",$E40,FIND("@",$E40)))),"ok","revisar"))</f>
        <v/>
      </c>
      <c r="G40" s="30"/>
      <c r="H40" s="30"/>
      <c r="I40" s="31"/>
      <c r="J40" s="30"/>
      <c r="K40" s="29"/>
      <c r="L40" s="30"/>
      <c r="M40" s="30"/>
    </row>
    <row r="41" customFormat="false" ht="15" hidden="false" customHeight="false" outlineLevel="0" collapsed="false">
      <c r="A41" s="29"/>
      <c r="B41" s="30"/>
      <c r="C41" s="30"/>
      <c r="D41" s="30"/>
      <c r="E41" s="30"/>
      <c r="F41" s="28" t="str">
        <f aca="false">IF($E41="","",IF(AND(ISNUMBER(FIND("@",$E41)),ISNUMBER(FIND(".",$E41,FIND("@",$E41)))),"ok","revisar"))</f>
        <v/>
      </c>
      <c r="G41" s="30"/>
      <c r="H41" s="30"/>
      <c r="I41" s="31"/>
      <c r="J41" s="30"/>
      <c r="K41" s="29"/>
      <c r="L41" s="30"/>
      <c r="M41" s="30"/>
    </row>
    <row r="42" customFormat="false" ht="15" hidden="false" customHeight="false" outlineLevel="0" collapsed="false">
      <c r="A42" s="29"/>
      <c r="B42" s="30"/>
      <c r="C42" s="30"/>
      <c r="D42" s="30"/>
      <c r="E42" s="30"/>
      <c r="F42" s="28" t="str">
        <f aca="false">IF($E42="","",IF(AND(ISNUMBER(FIND("@",$E42)),ISNUMBER(FIND(".",$E42,FIND("@",$E42)))),"ok","revisar"))</f>
        <v/>
      </c>
      <c r="G42" s="30"/>
      <c r="H42" s="30"/>
      <c r="I42" s="31"/>
      <c r="J42" s="30"/>
      <c r="K42" s="29"/>
      <c r="L42" s="30"/>
      <c r="M42" s="30"/>
    </row>
    <row r="43" customFormat="false" ht="15" hidden="false" customHeight="false" outlineLevel="0" collapsed="false">
      <c r="A43" s="29"/>
      <c r="B43" s="30"/>
      <c r="C43" s="30"/>
      <c r="D43" s="30"/>
      <c r="E43" s="30"/>
      <c r="F43" s="28" t="str">
        <f aca="false">IF($E43="","",IF(AND(ISNUMBER(FIND("@",$E43)),ISNUMBER(FIND(".",$E43,FIND("@",$E43)))),"ok","revisar"))</f>
        <v/>
      </c>
      <c r="G43" s="30"/>
      <c r="H43" s="30"/>
      <c r="I43" s="31"/>
      <c r="J43" s="30"/>
      <c r="K43" s="29"/>
      <c r="L43" s="30"/>
      <c r="M43" s="30"/>
    </row>
    <row r="44" customFormat="false" ht="15" hidden="false" customHeight="false" outlineLevel="0" collapsed="false">
      <c r="A44" s="29"/>
      <c r="B44" s="30"/>
      <c r="C44" s="30"/>
      <c r="D44" s="30"/>
      <c r="E44" s="30"/>
      <c r="F44" s="28" t="str">
        <f aca="false">IF($E44="","",IF(AND(ISNUMBER(FIND("@",$E44)),ISNUMBER(FIND(".",$E44,FIND("@",$E44)))),"ok","revisar"))</f>
        <v/>
      </c>
      <c r="G44" s="30"/>
      <c r="H44" s="30"/>
      <c r="I44" s="31"/>
      <c r="J44" s="30"/>
      <c r="K44" s="29"/>
      <c r="L44" s="30"/>
      <c r="M44" s="30"/>
    </row>
    <row r="45" customFormat="false" ht="15" hidden="false" customHeight="false" outlineLevel="0" collapsed="false">
      <c r="A45" s="29"/>
      <c r="B45" s="30"/>
      <c r="C45" s="30"/>
      <c r="D45" s="30"/>
      <c r="E45" s="30"/>
      <c r="F45" s="28" t="str">
        <f aca="false">IF($E45="","",IF(AND(ISNUMBER(FIND("@",$E45)),ISNUMBER(FIND(".",$E45,FIND("@",$E45)))),"ok","revisar"))</f>
        <v/>
      </c>
      <c r="G45" s="30"/>
      <c r="H45" s="30"/>
      <c r="I45" s="31"/>
      <c r="J45" s="30"/>
      <c r="K45" s="29"/>
      <c r="L45" s="30"/>
      <c r="M45" s="30"/>
    </row>
    <row r="46" customFormat="false" ht="15" hidden="false" customHeight="false" outlineLevel="0" collapsed="false">
      <c r="A46" s="29"/>
      <c r="B46" s="30"/>
      <c r="C46" s="30"/>
      <c r="D46" s="30"/>
      <c r="E46" s="30"/>
      <c r="F46" s="28" t="str">
        <f aca="false">IF($E46="","",IF(AND(ISNUMBER(FIND("@",$E46)),ISNUMBER(FIND(".",$E46,FIND("@",$E46)))),"ok","revisar"))</f>
        <v/>
      </c>
      <c r="G46" s="30"/>
      <c r="H46" s="30"/>
      <c r="I46" s="31"/>
      <c r="J46" s="30"/>
      <c r="K46" s="29"/>
      <c r="L46" s="30"/>
      <c r="M46" s="30"/>
    </row>
    <row r="47" customFormat="false" ht="15" hidden="false" customHeight="false" outlineLevel="0" collapsed="false">
      <c r="A47" s="29"/>
      <c r="B47" s="30"/>
      <c r="C47" s="30"/>
      <c r="D47" s="30"/>
      <c r="E47" s="30"/>
      <c r="F47" s="28" t="str">
        <f aca="false">IF($E47="","",IF(AND(ISNUMBER(FIND("@",$E47)),ISNUMBER(FIND(".",$E47,FIND("@",$E47)))),"ok","revisar"))</f>
        <v/>
      </c>
      <c r="G47" s="30"/>
      <c r="H47" s="30"/>
      <c r="I47" s="31"/>
      <c r="J47" s="30"/>
      <c r="K47" s="29"/>
      <c r="L47" s="30"/>
      <c r="M47" s="30"/>
    </row>
    <row r="48" customFormat="false" ht="15" hidden="false" customHeight="false" outlineLevel="0" collapsed="false">
      <c r="A48" s="29"/>
      <c r="B48" s="30"/>
      <c r="C48" s="30"/>
      <c r="D48" s="30"/>
      <c r="E48" s="30"/>
      <c r="F48" s="28" t="str">
        <f aca="false">IF($E48="","",IF(AND(ISNUMBER(FIND("@",$E48)),ISNUMBER(FIND(".",$E48,FIND("@",$E48)))),"ok","revisar"))</f>
        <v/>
      </c>
      <c r="G48" s="30"/>
      <c r="H48" s="30"/>
      <c r="I48" s="31"/>
      <c r="J48" s="30"/>
      <c r="K48" s="29"/>
      <c r="L48" s="30"/>
      <c r="M48" s="30"/>
    </row>
    <row r="49" customFormat="false" ht="15" hidden="false" customHeight="false" outlineLevel="0" collapsed="false">
      <c r="A49" s="29"/>
      <c r="B49" s="30"/>
      <c r="C49" s="30"/>
      <c r="D49" s="30"/>
      <c r="E49" s="30"/>
      <c r="F49" s="28" t="str">
        <f aca="false">IF($E49="","",IF(AND(ISNUMBER(FIND("@",$E49)),ISNUMBER(FIND(".",$E49,FIND("@",$E49)))),"ok","revisar"))</f>
        <v/>
      </c>
      <c r="G49" s="30"/>
      <c r="H49" s="30"/>
      <c r="I49" s="31"/>
      <c r="J49" s="30"/>
      <c r="K49" s="29"/>
      <c r="L49" s="30"/>
      <c r="M49" s="30"/>
    </row>
    <row r="50" customFormat="false" ht="15" hidden="false" customHeight="false" outlineLevel="0" collapsed="false">
      <c r="A50" s="29"/>
      <c r="B50" s="30"/>
      <c r="C50" s="30"/>
      <c r="D50" s="30"/>
      <c r="E50" s="30"/>
      <c r="F50" s="28" t="str">
        <f aca="false">IF($E50="","",IF(AND(ISNUMBER(FIND("@",$E50)),ISNUMBER(FIND(".",$E50,FIND("@",$E50)))),"ok","revisar"))</f>
        <v/>
      </c>
      <c r="G50" s="30"/>
      <c r="H50" s="30"/>
      <c r="I50" s="31"/>
      <c r="J50" s="30"/>
      <c r="K50" s="29"/>
      <c r="L50" s="30"/>
      <c r="M50" s="30"/>
    </row>
    <row r="51" customFormat="false" ht="15" hidden="false" customHeight="false" outlineLevel="0" collapsed="false">
      <c r="A51" s="29"/>
      <c r="B51" s="30"/>
      <c r="C51" s="30"/>
      <c r="D51" s="30"/>
      <c r="E51" s="30"/>
      <c r="F51" s="28" t="str">
        <f aca="false">IF($E51="","",IF(AND(ISNUMBER(FIND("@",$E51)),ISNUMBER(FIND(".",$E51,FIND("@",$E51)))),"ok","revisar"))</f>
        <v/>
      </c>
      <c r="G51" s="30"/>
      <c r="H51" s="30"/>
      <c r="I51" s="31"/>
      <c r="J51" s="30"/>
      <c r="K51" s="29"/>
      <c r="L51" s="30"/>
      <c r="M51" s="30"/>
    </row>
    <row r="52" customFormat="false" ht="15" hidden="false" customHeight="false" outlineLevel="0" collapsed="false">
      <c r="A52" s="29"/>
      <c r="B52" s="30"/>
      <c r="C52" s="30"/>
      <c r="D52" s="30"/>
      <c r="E52" s="30"/>
      <c r="F52" s="28" t="str">
        <f aca="false">IF($E52="","",IF(AND(ISNUMBER(FIND("@",$E52)),ISNUMBER(FIND(".",$E52,FIND("@",$E52)))),"ok","revisar"))</f>
        <v/>
      </c>
      <c r="G52" s="30"/>
      <c r="H52" s="30"/>
      <c r="I52" s="31"/>
      <c r="J52" s="30"/>
      <c r="K52" s="29"/>
      <c r="L52" s="30"/>
      <c r="M52" s="30"/>
    </row>
    <row r="53" customFormat="false" ht="15" hidden="false" customHeight="false" outlineLevel="0" collapsed="false">
      <c r="A53" s="29"/>
      <c r="B53" s="30"/>
      <c r="C53" s="30"/>
      <c r="D53" s="30"/>
      <c r="E53" s="30"/>
      <c r="F53" s="28" t="str">
        <f aca="false">IF($E53="","",IF(AND(ISNUMBER(FIND("@",$E53)),ISNUMBER(FIND(".",$E53,FIND("@",$E53)))),"ok","revisar"))</f>
        <v/>
      </c>
      <c r="G53" s="30"/>
      <c r="H53" s="30"/>
      <c r="I53" s="31"/>
      <c r="J53" s="30"/>
      <c r="K53" s="29"/>
      <c r="L53" s="30"/>
      <c r="M53" s="30"/>
    </row>
    <row r="54" customFormat="false" ht="15" hidden="false" customHeight="false" outlineLevel="0" collapsed="false">
      <c r="A54" s="29"/>
      <c r="B54" s="30"/>
      <c r="C54" s="30"/>
      <c r="D54" s="30"/>
      <c r="E54" s="30"/>
      <c r="F54" s="28" t="str">
        <f aca="false">IF($E54="","",IF(AND(ISNUMBER(FIND("@",$E54)),ISNUMBER(FIND(".",$E54,FIND("@",$E54)))),"ok","revisar"))</f>
        <v/>
      </c>
      <c r="G54" s="30"/>
      <c r="H54" s="30"/>
      <c r="I54" s="31"/>
      <c r="J54" s="30"/>
      <c r="K54" s="29"/>
      <c r="L54" s="30"/>
      <c r="M54" s="30"/>
    </row>
    <row r="55" customFormat="false" ht="15" hidden="false" customHeight="false" outlineLevel="0" collapsed="false">
      <c r="A55" s="29"/>
      <c r="B55" s="30"/>
      <c r="C55" s="30"/>
      <c r="D55" s="30"/>
      <c r="E55" s="30"/>
      <c r="F55" s="28" t="str">
        <f aca="false">IF($E55="","",IF(AND(ISNUMBER(FIND("@",$E55)),ISNUMBER(FIND(".",$E55,FIND("@",$E55)))),"ok","revisar"))</f>
        <v/>
      </c>
      <c r="G55" s="30"/>
      <c r="H55" s="30"/>
      <c r="I55" s="31"/>
      <c r="J55" s="30"/>
      <c r="K55" s="29"/>
      <c r="L55" s="30"/>
      <c r="M55" s="30"/>
    </row>
    <row r="56" customFormat="false" ht="15" hidden="false" customHeight="false" outlineLevel="0" collapsed="false">
      <c r="A56" s="29"/>
      <c r="B56" s="30"/>
      <c r="C56" s="30"/>
      <c r="D56" s="30"/>
      <c r="E56" s="30"/>
      <c r="F56" s="28" t="str">
        <f aca="false">IF($E56="","",IF(AND(ISNUMBER(FIND("@",$E56)),ISNUMBER(FIND(".",$E56,FIND("@",$E56)))),"ok","revisar"))</f>
        <v/>
      </c>
      <c r="G56" s="30"/>
      <c r="H56" s="30"/>
      <c r="I56" s="31"/>
      <c r="J56" s="30"/>
      <c r="K56" s="29"/>
      <c r="L56" s="30"/>
      <c r="M56" s="30"/>
    </row>
    <row r="57" customFormat="false" ht="15" hidden="false" customHeight="false" outlineLevel="0" collapsed="false">
      <c r="A57" s="29"/>
      <c r="B57" s="30"/>
      <c r="C57" s="30"/>
      <c r="D57" s="30"/>
      <c r="E57" s="30"/>
      <c r="F57" s="28" t="str">
        <f aca="false">IF($E57="","",IF(AND(ISNUMBER(FIND("@",$E57)),ISNUMBER(FIND(".",$E57,FIND("@",$E57)))),"ok","revisar"))</f>
        <v/>
      </c>
      <c r="G57" s="30"/>
      <c r="H57" s="30"/>
      <c r="I57" s="31"/>
      <c r="J57" s="30"/>
      <c r="K57" s="29"/>
      <c r="L57" s="30"/>
      <c r="M57" s="30"/>
    </row>
    <row r="58" customFormat="false" ht="15" hidden="false" customHeight="false" outlineLevel="0" collapsed="false">
      <c r="A58" s="29"/>
      <c r="B58" s="30"/>
      <c r="C58" s="30"/>
      <c r="D58" s="30"/>
      <c r="E58" s="30"/>
      <c r="F58" s="28" t="str">
        <f aca="false">IF($E58="","",IF(AND(ISNUMBER(FIND("@",$E58)),ISNUMBER(FIND(".",$E58,FIND("@",$E58)))),"ok","revisar"))</f>
        <v/>
      </c>
      <c r="G58" s="30"/>
      <c r="H58" s="30"/>
      <c r="I58" s="31"/>
      <c r="J58" s="30"/>
      <c r="K58" s="29"/>
      <c r="L58" s="30"/>
      <c r="M58" s="30"/>
    </row>
    <row r="59" customFormat="false" ht="15" hidden="false" customHeight="false" outlineLevel="0" collapsed="false">
      <c r="A59" s="29"/>
      <c r="B59" s="30"/>
      <c r="C59" s="30"/>
      <c r="D59" s="30"/>
      <c r="E59" s="30"/>
      <c r="F59" s="28" t="str">
        <f aca="false">IF($E59="","",IF(AND(ISNUMBER(FIND("@",$E59)),ISNUMBER(FIND(".",$E59,FIND("@",$E59)))),"ok","revisar"))</f>
        <v/>
      </c>
      <c r="G59" s="30"/>
      <c r="H59" s="30"/>
      <c r="I59" s="31"/>
      <c r="J59" s="30"/>
      <c r="K59" s="29"/>
      <c r="L59" s="30"/>
      <c r="M59" s="30"/>
    </row>
    <row r="60" customFormat="false" ht="15" hidden="false" customHeight="false" outlineLevel="0" collapsed="false">
      <c r="A60" s="29"/>
      <c r="B60" s="30"/>
      <c r="C60" s="30"/>
      <c r="D60" s="30"/>
      <c r="E60" s="30"/>
      <c r="F60" s="28" t="str">
        <f aca="false">IF($E60="","",IF(AND(ISNUMBER(FIND("@",$E60)),ISNUMBER(FIND(".",$E60,FIND("@",$E60)))),"ok","revisar"))</f>
        <v/>
      </c>
      <c r="G60" s="30"/>
      <c r="H60" s="30"/>
      <c r="I60" s="31"/>
      <c r="J60" s="30"/>
      <c r="K60" s="29"/>
      <c r="L60" s="30"/>
      <c r="M60" s="30"/>
    </row>
    <row r="61" customFormat="false" ht="15" hidden="false" customHeight="false" outlineLevel="0" collapsed="false">
      <c r="A61" s="29"/>
      <c r="B61" s="30"/>
      <c r="C61" s="30"/>
      <c r="D61" s="30"/>
      <c r="E61" s="30"/>
      <c r="F61" s="28" t="str">
        <f aca="false">IF($E61="","",IF(AND(ISNUMBER(FIND("@",$E61)),ISNUMBER(FIND(".",$E61,FIND("@",$E61)))),"ok","revisar"))</f>
        <v/>
      </c>
      <c r="G61" s="30"/>
      <c r="H61" s="30"/>
      <c r="I61" s="31"/>
      <c r="J61" s="30"/>
      <c r="K61" s="29"/>
      <c r="L61" s="30"/>
      <c r="M61" s="30"/>
    </row>
    <row r="62" customFormat="false" ht="15" hidden="false" customHeight="false" outlineLevel="0" collapsed="false">
      <c r="A62" s="29"/>
      <c r="B62" s="30"/>
      <c r="C62" s="30"/>
      <c r="D62" s="30"/>
      <c r="E62" s="30"/>
      <c r="F62" s="28" t="str">
        <f aca="false">IF($E62="","",IF(AND(ISNUMBER(FIND("@",$E62)),ISNUMBER(FIND(".",$E62,FIND("@",$E62)))),"ok","revisar"))</f>
        <v/>
      </c>
      <c r="G62" s="30"/>
      <c r="H62" s="30"/>
      <c r="I62" s="31"/>
      <c r="J62" s="30"/>
      <c r="K62" s="29"/>
      <c r="L62" s="30"/>
      <c r="M62" s="30"/>
    </row>
    <row r="63" customFormat="false" ht="15" hidden="false" customHeight="false" outlineLevel="0" collapsed="false">
      <c r="A63" s="29"/>
      <c r="B63" s="30"/>
      <c r="C63" s="30"/>
      <c r="D63" s="30"/>
      <c r="E63" s="30"/>
      <c r="F63" s="28" t="str">
        <f aca="false">IF($E63="","",IF(AND(ISNUMBER(FIND("@",$E63)),ISNUMBER(FIND(".",$E63,FIND("@",$E63)))),"ok","revisar"))</f>
        <v/>
      </c>
      <c r="G63" s="30"/>
      <c r="H63" s="30"/>
      <c r="I63" s="31"/>
      <c r="J63" s="30"/>
      <c r="K63" s="29"/>
      <c r="L63" s="30"/>
      <c r="M63" s="30"/>
    </row>
    <row r="64" customFormat="false" ht="15" hidden="false" customHeight="false" outlineLevel="0" collapsed="false">
      <c r="A64" s="29"/>
      <c r="B64" s="30"/>
      <c r="C64" s="30"/>
      <c r="D64" s="30"/>
      <c r="E64" s="30"/>
      <c r="F64" s="28" t="str">
        <f aca="false">IF($E64="","",IF(AND(ISNUMBER(FIND("@",$E64)),ISNUMBER(FIND(".",$E64,FIND("@",$E64)))),"ok","revisar"))</f>
        <v/>
      </c>
      <c r="G64" s="30"/>
      <c r="H64" s="30"/>
      <c r="I64" s="31"/>
      <c r="J64" s="30"/>
      <c r="K64" s="29"/>
      <c r="L64" s="30"/>
      <c r="M64" s="30"/>
    </row>
    <row r="65" customFormat="false" ht="15" hidden="false" customHeight="false" outlineLevel="0" collapsed="false">
      <c r="A65" s="29"/>
      <c r="B65" s="30"/>
      <c r="C65" s="30"/>
      <c r="D65" s="30"/>
      <c r="E65" s="30"/>
      <c r="F65" s="28" t="str">
        <f aca="false">IF($E65="","",IF(AND(ISNUMBER(FIND("@",$E65)),ISNUMBER(FIND(".",$E65,FIND("@",$E65)))),"ok","revisar"))</f>
        <v/>
      </c>
      <c r="G65" s="30"/>
      <c r="H65" s="30"/>
      <c r="I65" s="31"/>
      <c r="J65" s="30"/>
      <c r="K65" s="29"/>
      <c r="L65" s="30"/>
      <c r="M65" s="30"/>
    </row>
    <row r="66" customFormat="false" ht="15" hidden="false" customHeight="false" outlineLevel="0" collapsed="false">
      <c r="A66" s="29"/>
      <c r="B66" s="30"/>
      <c r="C66" s="30"/>
      <c r="D66" s="30"/>
      <c r="E66" s="30"/>
      <c r="F66" s="28" t="str">
        <f aca="false">IF($E66="","",IF(AND(ISNUMBER(FIND("@",$E66)),ISNUMBER(FIND(".",$E66,FIND("@",$E66)))),"ok","revisar"))</f>
        <v/>
      </c>
      <c r="G66" s="30"/>
      <c r="H66" s="30"/>
      <c r="I66" s="31"/>
      <c r="J66" s="30"/>
      <c r="K66" s="29"/>
      <c r="L66" s="30"/>
      <c r="M66" s="30"/>
    </row>
    <row r="67" customFormat="false" ht="15" hidden="false" customHeight="false" outlineLevel="0" collapsed="false">
      <c r="A67" s="29"/>
      <c r="B67" s="30"/>
      <c r="C67" s="30"/>
      <c r="D67" s="30"/>
      <c r="E67" s="30"/>
      <c r="F67" s="28" t="str">
        <f aca="false">IF($E67="","",IF(AND(ISNUMBER(FIND("@",$E67)),ISNUMBER(FIND(".",$E67,FIND("@",$E67)))),"ok","revisar"))</f>
        <v/>
      </c>
      <c r="G67" s="30"/>
      <c r="H67" s="30"/>
      <c r="I67" s="31"/>
      <c r="J67" s="30"/>
      <c r="K67" s="29"/>
      <c r="L67" s="30"/>
      <c r="M67" s="30"/>
    </row>
    <row r="68" customFormat="false" ht="15" hidden="false" customHeight="false" outlineLevel="0" collapsed="false">
      <c r="A68" s="29"/>
      <c r="B68" s="30"/>
      <c r="C68" s="30"/>
      <c r="D68" s="30"/>
      <c r="E68" s="30"/>
      <c r="F68" s="28" t="str">
        <f aca="false">IF($E68="","",IF(AND(ISNUMBER(FIND("@",$E68)),ISNUMBER(FIND(".",$E68,FIND("@",$E68)))),"ok","revisar"))</f>
        <v/>
      </c>
      <c r="G68" s="30"/>
      <c r="H68" s="30"/>
      <c r="I68" s="31"/>
      <c r="J68" s="30"/>
      <c r="K68" s="29"/>
      <c r="L68" s="30"/>
      <c r="M68" s="30"/>
    </row>
    <row r="69" customFormat="false" ht="15" hidden="false" customHeight="false" outlineLevel="0" collapsed="false">
      <c r="A69" s="29"/>
      <c r="B69" s="30"/>
      <c r="C69" s="30"/>
      <c r="D69" s="30"/>
      <c r="E69" s="30"/>
      <c r="F69" s="28" t="str">
        <f aca="false">IF($E69="","",IF(AND(ISNUMBER(FIND("@",$E69)),ISNUMBER(FIND(".",$E69,FIND("@",$E69)))),"ok","revisar"))</f>
        <v/>
      </c>
      <c r="G69" s="30"/>
      <c r="H69" s="30"/>
      <c r="I69" s="31"/>
      <c r="J69" s="30"/>
      <c r="K69" s="29"/>
      <c r="L69" s="30"/>
      <c r="M69" s="30"/>
    </row>
    <row r="70" customFormat="false" ht="15" hidden="false" customHeight="false" outlineLevel="0" collapsed="false">
      <c r="A70" s="29"/>
      <c r="B70" s="30"/>
      <c r="C70" s="30"/>
      <c r="D70" s="30"/>
      <c r="E70" s="30"/>
      <c r="F70" s="28" t="str">
        <f aca="false">IF($E70="","",IF(AND(ISNUMBER(FIND("@",$E70)),ISNUMBER(FIND(".",$E70,FIND("@",$E70)))),"ok","revisar"))</f>
        <v/>
      </c>
      <c r="G70" s="30"/>
      <c r="H70" s="30"/>
      <c r="I70" s="31"/>
      <c r="J70" s="30"/>
      <c r="K70" s="29"/>
      <c r="L70" s="30"/>
      <c r="M70" s="30"/>
    </row>
    <row r="71" customFormat="false" ht="15" hidden="false" customHeight="false" outlineLevel="0" collapsed="false">
      <c r="A71" s="29"/>
      <c r="B71" s="30"/>
      <c r="C71" s="30"/>
      <c r="D71" s="30"/>
      <c r="E71" s="30"/>
      <c r="F71" s="28" t="str">
        <f aca="false">IF($E71="","",IF(AND(ISNUMBER(FIND("@",$E71)),ISNUMBER(FIND(".",$E71,FIND("@",$E71)))),"ok","revisar"))</f>
        <v/>
      </c>
      <c r="G71" s="30"/>
      <c r="H71" s="30"/>
      <c r="I71" s="31"/>
      <c r="J71" s="30"/>
      <c r="K71" s="29"/>
      <c r="L71" s="30"/>
      <c r="M71" s="30"/>
    </row>
    <row r="72" customFormat="false" ht="15" hidden="false" customHeight="false" outlineLevel="0" collapsed="false">
      <c r="A72" s="29"/>
      <c r="B72" s="30"/>
      <c r="C72" s="30"/>
      <c r="D72" s="30"/>
      <c r="E72" s="30"/>
      <c r="F72" s="28" t="str">
        <f aca="false">IF($E72="","",IF(AND(ISNUMBER(FIND("@",$E72)),ISNUMBER(FIND(".",$E72,FIND("@",$E72)))),"ok","revisar"))</f>
        <v/>
      </c>
      <c r="G72" s="30"/>
      <c r="H72" s="30"/>
      <c r="I72" s="31"/>
      <c r="J72" s="30"/>
      <c r="K72" s="29"/>
      <c r="L72" s="30"/>
      <c r="M72" s="30"/>
    </row>
    <row r="73" customFormat="false" ht="15" hidden="false" customHeight="false" outlineLevel="0" collapsed="false">
      <c r="A73" s="29"/>
      <c r="B73" s="30"/>
      <c r="C73" s="30"/>
      <c r="D73" s="30"/>
      <c r="E73" s="30"/>
      <c r="F73" s="28" t="str">
        <f aca="false">IF($E73="","",IF(AND(ISNUMBER(FIND("@",$E73)),ISNUMBER(FIND(".",$E73,FIND("@",$E73)))),"ok","revisar"))</f>
        <v/>
      </c>
      <c r="G73" s="30"/>
      <c r="H73" s="30"/>
      <c r="I73" s="31"/>
      <c r="J73" s="30"/>
      <c r="K73" s="29"/>
      <c r="L73" s="30"/>
      <c r="M73" s="30"/>
    </row>
    <row r="74" customFormat="false" ht="15" hidden="false" customHeight="false" outlineLevel="0" collapsed="false">
      <c r="A74" s="29"/>
      <c r="B74" s="30"/>
      <c r="C74" s="30"/>
      <c r="D74" s="30"/>
      <c r="E74" s="30"/>
      <c r="F74" s="28" t="str">
        <f aca="false">IF($E74="","",IF(AND(ISNUMBER(FIND("@",$E74)),ISNUMBER(FIND(".",$E74,FIND("@",$E74)))),"ok","revisar"))</f>
        <v/>
      </c>
      <c r="G74" s="30"/>
      <c r="H74" s="30"/>
      <c r="I74" s="31"/>
      <c r="J74" s="30"/>
      <c r="K74" s="29"/>
      <c r="L74" s="30"/>
      <c r="M74" s="30"/>
    </row>
    <row r="75" customFormat="false" ht="15" hidden="false" customHeight="false" outlineLevel="0" collapsed="false">
      <c r="A75" s="29"/>
      <c r="B75" s="30"/>
      <c r="C75" s="30"/>
      <c r="D75" s="30"/>
      <c r="E75" s="30"/>
      <c r="F75" s="28" t="str">
        <f aca="false">IF($E75="","",IF(AND(ISNUMBER(FIND("@",$E75)),ISNUMBER(FIND(".",$E75,FIND("@",$E75)))),"ok","revisar"))</f>
        <v/>
      </c>
      <c r="G75" s="30"/>
      <c r="H75" s="30"/>
      <c r="I75" s="31"/>
      <c r="J75" s="30"/>
      <c r="K75" s="29"/>
      <c r="L75" s="30"/>
      <c r="M75" s="30"/>
    </row>
    <row r="76" customFormat="false" ht="15" hidden="false" customHeight="false" outlineLevel="0" collapsed="false">
      <c r="A76" s="29"/>
      <c r="B76" s="30"/>
      <c r="C76" s="30"/>
      <c r="D76" s="30"/>
      <c r="E76" s="30"/>
      <c r="F76" s="28" t="str">
        <f aca="false">IF($E76="","",IF(AND(ISNUMBER(FIND("@",$E76)),ISNUMBER(FIND(".",$E76,FIND("@",$E76)))),"ok","revisar"))</f>
        <v/>
      </c>
      <c r="G76" s="30"/>
      <c r="H76" s="30"/>
      <c r="I76" s="31"/>
      <c r="J76" s="30"/>
      <c r="K76" s="29"/>
      <c r="L76" s="30"/>
      <c r="M76" s="30"/>
    </row>
    <row r="77" customFormat="false" ht="15" hidden="false" customHeight="false" outlineLevel="0" collapsed="false">
      <c r="A77" s="29"/>
      <c r="B77" s="30"/>
      <c r="C77" s="30"/>
      <c r="D77" s="30"/>
      <c r="E77" s="30"/>
      <c r="F77" s="28" t="str">
        <f aca="false">IF($E77="","",IF(AND(ISNUMBER(FIND("@",$E77)),ISNUMBER(FIND(".",$E77,FIND("@",$E77)))),"ok","revisar"))</f>
        <v/>
      </c>
      <c r="G77" s="30"/>
      <c r="H77" s="30"/>
      <c r="I77" s="31"/>
      <c r="J77" s="30"/>
      <c r="K77" s="29"/>
      <c r="L77" s="30"/>
      <c r="M77" s="30"/>
    </row>
    <row r="78" customFormat="false" ht="15" hidden="false" customHeight="false" outlineLevel="0" collapsed="false">
      <c r="A78" s="29"/>
      <c r="B78" s="30"/>
      <c r="C78" s="30"/>
      <c r="D78" s="30"/>
      <c r="E78" s="30"/>
      <c r="F78" s="28" t="str">
        <f aca="false">IF($E78="","",IF(AND(ISNUMBER(FIND("@",$E78)),ISNUMBER(FIND(".",$E78,FIND("@",$E78)))),"ok","revisar"))</f>
        <v/>
      </c>
      <c r="G78" s="30"/>
      <c r="H78" s="30"/>
      <c r="I78" s="31"/>
      <c r="J78" s="30"/>
      <c r="K78" s="29"/>
      <c r="L78" s="30"/>
      <c r="M78" s="30"/>
    </row>
    <row r="79" customFormat="false" ht="15" hidden="false" customHeight="false" outlineLevel="0" collapsed="false">
      <c r="A79" s="29"/>
      <c r="B79" s="30"/>
      <c r="C79" s="30"/>
      <c r="D79" s="30"/>
      <c r="E79" s="30"/>
      <c r="F79" s="28" t="str">
        <f aca="false">IF($E79="","",IF(AND(ISNUMBER(FIND("@",$E79)),ISNUMBER(FIND(".",$E79,FIND("@",$E79)))),"ok","revisar"))</f>
        <v/>
      </c>
      <c r="G79" s="30"/>
      <c r="H79" s="30"/>
      <c r="I79" s="31"/>
      <c r="J79" s="30"/>
      <c r="K79" s="29"/>
      <c r="L79" s="30"/>
      <c r="M79" s="30"/>
    </row>
    <row r="80" customFormat="false" ht="15" hidden="false" customHeight="false" outlineLevel="0" collapsed="false">
      <c r="A80" s="29"/>
      <c r="B80" s="30"/>
      <c r="C80" s="30"/>
      <c r="D80" s="30"/>
      <c r="E80" s="30"/>
      <c r="F80" s="28" t="str">
        <f aca="false">IF($E80="","",IF(AND(ISNUMBER(FIND("@",$E80)),ISNUMBER(FIND(".",$E80,FIND("@",$E80)))),"ok","revisar"))</f>
        <v/>
      </c>
      <c r="G80" s="30"/>
      <c r="H80" s="30"/>
      <c r="I80" s="31"/>
      <c r="J80" s="30"/>
      <c r="K80" s="29"/>
      <c r="L80" s="30"/>
      <c r="M80" s="30"/>
    </row>
    <row r="81" customFormat="false" ht="15" hidden="false" customHeight="false" outlineLevel="0" collapsed="false">
      <c r="A81" s="29"/>
      <c r="B81" s="30"/>
      <c r="C81" s="30"/>
      <c r="D81" s="30"/>
      <c r="E81" s="30"/>
      <c r="F81" s="28" t="str">
        <f aca="false">IF($E81="","",IF(AND(ISNUMBER(FIND("@",$E81)),ISNUMBER(FIND(".",$E81,FIND("@",$E81)))),"ok","revisar"))</f>
        <v/>
      </c>
      <c r="G81" s="30"/>
      <c r="H81" s="30"/>
      <c r="I81" s="31"/>
      <c r="J81" s="30"/>
      <c r="K81" s="29"/>
      <c r="L81" s="30"/>
      <c r="M81" s="30"/>
    </row>
    <row r="82" customFormat="false" ht="15" hidden="false" customHeight="false" outlineLevel="0" collapsed="false">
      <c r="A82" s="29"/>
      <c r="B82" s="30"/>
      <c r="C82" s="30"/>
      <c r="D82" s="30"/>
      <c r="E82" s="30"/>
      <c r="F82" s="28" t="str">
        <f aca="false">IF($E82="","",IF(AND(ISNUMBER(FIND("@",$E82)),ISNUMBER(FIND(".",$E82,FIND("@",$E82)))),"ok","revisar"))</f>
        <v/>
      </c>
      <c r="G82" s="30"/>
      <c r="H82" s="30"/>
      <c r="I82" s="31"/>
      <c r="J82" s="30"/>
      <c r="K82" s="29"/>
      <c r="L82" s="30"/>
      <c r="M82" s="30"/>
    </row>
    <row r="83" customFormat="false" ht="15" hidden="false" customHeight="false" outlineLevel="0" collapsed="false">
      <c r="A83" s="29"/>
      <c r="B83" s="30"/>
      <c r="C83" s="30"/>
      <c r="D83" s="30"/>
      <c r="E83" s="30"/>
      <c r="F83" s="28" t="str">
        <f aca="false">IF($E83="","",IF(AND(ISNUMBER(FIND("@",$E83)),ISNUMBER(FIND(".",$E83,FIND("@",$E83)))),"ok","revisar"))</f>
        <v/>
      </c>
      <c r="G83" s="30"/>
      <c r="H83" s="30"/>
      <c r="I83" s="31"/>
      <c r="J83" s="30"/>
      <c r="K83" s="29"/>
      <c r="L83" s="30"/>
      <c r="M83" s="30"/>
    </row>
    <row r="84" customFormat="false" ht="15" hidden="false" customHeight="false" outlineLevel="0" collapsed="false">
      <c r="A84" s="29"/>
      <c r="B84" s="30"/>
      <c r="C84" s="30"/>
      <c r="D84" s="30"/>
      <c r="E84" s="30"/>
      <c r="F84" s="28" t="str">
        <f aca="false">IF($E84="","",IF(AND(ISNUMBER(FIND("@",$E84)),ISNUMBER(FIND(".",$E84,FIND("@",$E84)))),"ok","revisar"))</f>
        <v/>
      </c>
      <c r="G84" s="30"/>
      <c r="H84" s="30"/>
      <c r="I84" s="31"/>
      <c r="J84" s="30"/>
      <c r="K84" s="29"/>
      <c r="L84" s="30"/>
      <c r="M84" s="30"/>
    </row>
    <row r="85" customFormat="false" ht="15" hidden="false" customHeight="false" outlineLevel="0" collapsed="false">
      <c r="A85" s="29"/>
      <c r="B85" s="30"/>
      <c r="C85" s="30"/>
      <c r="D85" s="30"/>
      <c r="E85" s="30"/>
      <c r="F85" s="28" t="str">
        <f aca="false">IF($E85="","",IF(AND(ISNUMBER(FIND("@",$E85)),ISNUMBER(FIND(".",$E85,FIND("@",$E85)))),"ok","revisar"))</f>
        <v/>
      </c>
      <c r="G85" s="30"/>
      <c r="H85" s="30"/>
      <c r="I85" s="31"/>
      <c r="J85" s="30"/>
      <c r="K85" s="29"/>
      <c r="L85" s="30"/>
      <c r="M85" s="30"/>
    </row>
    <row r="86" customFormat="false" ht="15" hidden="false" customHeight="false" outlineLevel="0" collapsed="false">
      <c r="A86" s="29"/>
      <c r="B86" s="30"/>
      <c r="C86" s="30"/>
      <c r="D86" s="30"/>
      <c r="E86" s="30"/>
      <c r="F86" s="28" t="str">
        <f aca="false">IF($E86="","",IF(AND(ISNUMBER(FIND("@",$E86)),ISNUMBER(FIND(".",$E86,FIND("@",$E86)))),"ok","revisar"))</f>
        <v/>
      </c>
      <c r="G86" s="30"/>
      <c r="H86" s="30"/>
      <c r="I86" s="31"/>
      <c r="J86" s="30"/>
      <c r="K86" s="29"/>
      <c r="L86" s="30"/>
      <c r="M86" s="30"/>
    </row>
    <row r="87" customFormat="false" ht="15" hidden="false" customHeight="false" outlineLevel="0" collapsed="false">
      <c r="A87" s="29"/>
      <c r="B87" s="30"/>
      <c r="C87" s="30"/>
      <c r="D87" s="30"/>
      <c r="E87" s="30"/>
      <c r="F87" s="28" t="str">
        <f aca="false">IF($E87="","",IF(AND(ISNUMBER(FIND("@",$E87)),ISNUMBER(FIND(".",$E87,FIND("@",$E87)))),"ok","revisar"))</f>
        <v/>
      </c>
      <c r="G87" s="30"/>
      <c r="H87" s="30"/>
      <c r="I87" s="31"/>
      <c r="J87" s="30"/>
      <c r="K87" s="29"/>
      <c r="L87" s="30"/>
      <c r="M87" s="30"/>
    </row>
    <row r="88" customFormat="false" ht="15" hidden="false" customHeight="false" outlineLevel="0" collapsed="false">
      <c r="A88" s="29"/>
      <c r="B88" s="30"/>
      <c r="C88" s="30"/>
      <c r="D88" s="30"/>
      <c r="E88" s="30"/>
      <c r="F88" s="28" t="str">
        <f aca="false">IF($E88="","",IF(AND(ISNUMBER(FIND("@",$E88)),ISNUMBER(FIND(".",$E88,FIND("@",$E88)))),"ok","revisar"))</f>
        <v/>
      </c>
      <c r="G88" s="30"/>
      <c r="H88" s="30"/>
      <c r="I88" s="31"/>
      <c r="J88" s="30"/>
      <c r="K88" s="29"/>
      <c r="L88" s="30"/>
      <c r="M88" s="30"/>
    </row>
    <row r="89" customFormat="false" ht="15" hidden="false" customHeight="false" outlineLevel="0" collapsed="false">
      <c r="A89" s="29"/>
      <c r="B89" s="30"/>
      <c r="C89" s="30"/>
      <c r="D89" s="30"/>
      <c r="E89" s="30"/>
      <c r="F89" s="28" t="str">
        <f aca="false">IF($E89="","",IF(AND(ISNUMBER(FIND("@",$E89)),ISNUMBER(FIND(".",$E89,FIND("@",$E89)))),"ok","revisar"))</f>
        <v/>
      </c>
      <c r="G89" s="30"/>
      <c r="H89" s="30"/>
      <c r="I89" s="31"/>
      <c r="J89" s="30"/>
      <c r="K89" s="29"/>
      <c r="L89" s="30"/>
      <c r="M89" s="30"/>
    </row>
    <row r="90" customFormat="false" ht="15" hidden="false" customHeight="false" outlineLevel="0" collapsed="false">
      <c r="A90" s="29"/>
      <c r="B90" s="30"/>
      <c r="C90" s="30"/>
      <c r="D90" s="30"/>
      <c r="E90" s="30"/>
      <c r="F90" s="28" t="str">
        <f aca="false">IF($E90="","",IF(AND(ISNUMBER(FIND("@",$E90)),ISNUMBER(FIND(".",$E90,FIND("@",$E90)))),"ok","revisar"))</f>
        <v/>
      </c>
      <c r="G90" s="30"/>
      <c r="H90" s="30"/>
      <c r="I90" s="31"/>
      <c r="J90" s="30"/>
      <c r="K90" s="29"/>
      <c r="L90" s="30"/>
      <c r="M90" s="30"/>
    </row>
    <row r="91" customFormat="false" ht="15" hidden="false" customHeight="false" outlineLevel="0" collapsed="false">
      <c r="A91" s="29"/>
      <c r="B91" s="30"/>
      <c r="C91" s="30"/>
      <c r="D91" s="30"/>
      <c r="E91" s="30"/>
      <c r="F91" s="28" t="str">
        <f aca="false">IF($E91="","",IF(AND(ISNUMBER(FIND("@",$E91)),ISNUMBER(FIND(".",$E91,FIND("@",$E91)))),"ok","revisar"))</f>
        <v/>
      </c>
      <c r="G91" s="30"/>
      <c r="H91" s="30"/>
      <c r="I91" s="31"/>
      <c r="J91" s="30"/>
      <c r="K91" s="29"/>
      <c r="L91" s="30"/>
      <c r="M91" s="30"/>
    </row>
    <row r="92" customFormat="false" ht="15" hidden="false" customHeight="false" outlineLevel="0" collapsed="false">
      <c r="A92" s="29"/>
      <c r="B92" s="30"/>
      <c r="C92" s="30"/>
      <c r="D92" s="30"/>
      <c r="E92" s="30"/>
      <c r="F92" s="28" t="str">
        <f aca="false">IF($E92="","",IF(AND(ISNUMBER(FIND("@",$E92)),ISNUMBER(FIND(".",$E92,FIND("@",$E92)))),"ok","revisar"))</f>
        <v/>
      </c>
      <c r="G92" s="30"/>
      <c r="H92" s="30"/>
      <c r="I92" s="31"/>
      <c r="J92" s="30"/>
      <c r="K92" s="29"/>
      <c r="L92" s="30"/>
      <c r="M92" s="30"/>
    </row>
    <row r="93" customFormat="false" ht="15" hidden="false" customHeight="false" outlineLevel="0" collapsed="false">
      <c r="A93" s="29"/>
      <c r="B93" s="30"/>
      <c r="C93" s="30"/>
      <c r="D93" s="30"/>
      <c r="E93" s="30"/>
      <c r="F93" s="28" t="str">
        <f aca="false">IF($E93="","",IF(AND(ISNUMBER(FIND("@",$E93)),ISNUMBER(FIND(".",$E93,FIND("@",$E93)))),"ok","revisar"))</f>
        <v/>
      </c>
      <c r="G93" s="30"/>
      <c r="H93" s="30"/>
      <c r="I93" s="31"/>
      <c r="J93" s="30"/>
      <c r="K93" s="29"/>
      <c r="L93" s="30"/>
      <c r="M93" s="30"/>
    </row>
    <row r="94" customFormat="false" ht="15" hidden="false" customHeight="false" outlineLevel="0" collapsed="false">
      <c r="A94" s="29"/>
      <c r="B94" s="30"/>
      <c r="C94" s="30"/>
      <c r="D94" s="30"/>
      <c r="E94" s="30"/>
      <c r="F94" s="28" t="str">
        <f aca="false">IF($E94="","",IF(AND(ISNUMBER(FIND("@",$E94)),ISNUMBER(FIND(".",$E94,FIND("@",$E94)))),"ok","revisar"))</f>
        <v/>
      </c>
      <c r="G94" s="30"/>
      <c r="H94" s="30"/>
      <c r="I94" s="31"/>
      <c r="J94" s="30"/>
      <c r="K94" s="29"/>
      <c r="L94" s="30"/>
      <c r="M94" s="30"/>
    </row>
    <row r="95" customFormat="false" ht="15" hidden="false" customHeight="false" outlineLevel="0" collapsed="false">
      <c r="A95" s="29"/>
      <c r="B95" s="30"/>
      <c r="C95" s="30"/>
      <c r="D95" s="30"/>
      <c r="E95" s="30"/>
      <c r="F95" s="28" t="str">
        <f aca="false">IF($E95="","",IF(AND(ISNUMBER(FIND("@",$E95)),ISNUMBER(FIND(".",$E95,FIND("@",$E95)))),"ok","revisar"))</f>
        <v/>
      </c>
      <c r="G95" s="30"/>
      <c r="H95" s="30"/>
      <c r="I95" s="31"/>
      <c r="J95" s="30"/>
      <c r="K95" s="29"/>
      <c r="L95" s="30"/>
      <c r="M95" s="30"/>
    </row>
    <row r="96" customFormat="false" ht="15" hidden="false" customHeight="false" outlineLevel="0" collapsed="false">
      <c r="A96" s="29"/>
      <c r="B96" s="30"/>
      <c r="C96" s="30"/>
      <c r="D96" s="30"/>
      <c r="E96" s="30"/>
      <c r="F96" s="28" t="str">
        <f aca="false">IF($E96="","",IF(AND(ISNUMBER(FIND("@",$E96)),ISNUMBER(FIND(".",$E96,FIND("@",$E96)))),"ok","revisar"))</f>
        <v/>
      </c>
      <c r="G96" s="30"/>
      <c r="H96" s="30"/>
      <c r="I96" s="31"/>
      <c r="J96" s="30"/>
      <c r="K96" s="29"/>
      <c r="L96" s="30"/>
      <c r="M96" s="30"/>
    </row>
    <row r="97" customFormat="false" ht="15" hidden="false" customHeight="false" outlineLevel="0" collapsed="false">
      <c r="A97" s="29"/>
      <c r="B97" s="30"/>
      <c r="C97" s="30"/>
      <c r="D97" s="30"/>
      <c r="E97" s="30"/>
      <c r="F97" s="28" t="str">
        <f aca="false">IF($E97="","",IF(AND(ISNUMBER(FIND("@",$E97)),ISNUMBER(FIND(".",$E97,FIND("@",$E97)))),"ok","revisar"))</f>
        <v/>
      </c>
      <c r="G97" s="30"/>
      <c r="H97" s="30"/>
      <c r="I97" s="31"/>
      <c r="J97" s="30"/>
      <c r="K97" s="29"/>
      <c r="L97" s="30"/>
      <c r="M97" s="30"/>
    </row>
    <row r="98" customFormat="false" ht="15" hidden="false" customHeight="false" outlineLevel="0" collapsed="false">
      <c r="A98" s="29"/>
      <c r="B98" s="30"/>
      <c r="C98" s="30"/>
      <c r="D98" s="30"/>
      <c r="E98" s="30"/>
      <c r="F98" s="28" t="str">
        <f aca="false">IF($E98="","",IF(AND(ISNUMBER(FIND("@",$E98)),ISNUMBER(FIND(".",$E98,FIND("@",$E98)))),"ok","revisar"))</f>
        <v/>
      </c>
      <c r="G98" s="30"/>
      <c r="H98" s="30"/>
      <c r="I98" s="31"/>
      <c r="J98" s="30"/>
      <c r="K98" s="29"/>
      <c r="L98" s="30"/>
      <c r="M98" s="30"/>
    </row>
    <row r="99" customFormat="false" ht="15" hidden="false" customHeight="false" outlineLevel="0" collapsed="false">
      <c r="A99" s="29"/>
      <c r="B99" s="30"/>
      <c r="C99" s="30"/>
      <c r="D99" s="30"/>
      <c r="E99" s="30"/>
      <c r="F99" s="28" t="str">
        <f aca="false">IF($E99="","",IF(AND(ISNUMBER(FIND("@",$E99)),ISNUMBER(FIND(".",$E99,FIND("@",$E99)))),"ok","revisar"))</f>
        <v/>
      </c>
      <c r="G99" s="30"/>
      <c r="H99" s="30"/>
      <c r="I99" s="31"/>
      <c r="J99" s="30"/>
      <c r="K99" s="29"/>
      <c r="L99" s="30"/>
      <c r="M99" s="30"/>
    </row>
    <row r="100" customFormat="false" ht="15" hidden="false" customHeight="false" outlineLevel="0" collapsed="false">
      <c r="A100" s="29"/>
      <c r="B100" s="30"/>
      <c r="C100" s="30"/>
      <c r="D100" s="30"/>
      <c r="E100" s="30"/>
      <c r="F100" s="28" t="str">
        <f aca="false">IF($E100="","",IF(AND(ISNUMBER(FIND("@",$E100)),ISNUMBER(FIND(".",$E100,FIND("@",$E100)))),"ok","revisar"))</f>
        <v/>
      </c>
      <c r="G100" s="30"/>
      <c r="H100" s="30"/>
      <c r="I100" s="31"/>
      <c r="J100" s="30"/>
      <c r="K100" s="29"/>
      <c r="L100" s="30"/>
      <c r="M100" s="30"/>
    </row>
    <row r="101" customFormat="false" ht="15" hidden="false" customHeight="false" outlineLevel="0" collapsed="false">
      <c r="A101" s="29"/>
      <c r="B101" s="30"/>
      <c r="C101" s="30"/>
      <c r="D101" s="30"/>
      <c r="E101" s="30"/>
      <c r="F101" s="28" t="str">
        <f aca="false">IF($E101="","",IF(AND(ISNUMBER(FIND("@",$E101)),ISNUMBER(FIND(".",$E101,FIND("@",$E101)))),"ok","revisar"))</f>
        <v/>
      </c>
      <c r="G101" s="30"/>
      <c r="H101" s="30"/>
      <c r="I101" s="31"/>
      <c r="J101" s="30"/>
      <c r="K101" s="29"/>
      <c r="L101" s="30"/>
      <c r="M101" s="30"/>
    </row>
    <row r="102" customFormat="false" ht="15" hidden="false" customHeight="false" outlineLevel="0" collapsed="false">
      <c r="A102" s="29"/>
      <c r="B102" s="30"/>
      <c r="C102" s="30"/>
      <c r="D102" s="30"/>
      <c r="E102" s="30"/>
      <c r="F102" s="28" t="str">
        <f aca="false">IF($E102="","",IF(AND(ISNUMBER(FIND("@",$E102)),ISNUMBER(FIND(".",$E102,FIND("@",$E102)))),"ok","revisar"))</f>
        <v/>
      </c>
      <c r="G102" s="30"/>
      <c r="H102" s="30"/>
      <c r="I102" s="31"/>
      <c r="J102" s="30"/>
      <c r="K102" s="29"/>
      <c r="L102" s="30"/>
      <c r="M102" s="30"/>
    </row>
    <row r="103" customFormat="false" ht="15" hidden="false" customHeight="false" outlineLevel="0" collapsed="false">
      <c r="A103" s="29"/>
      <c r="B103" s="30"/>
      <c r="C103" s="30"/>
      <c r="D103" s="30"/>
      <c r="E103" s="30"/>
      <c r="F103" s="28" t="str">
        <f aca="false">IF($E103="","",IF(AND(ISNUMBER(FIND("@",$E103)),ISNUMBER(FIND(".",$E103,FIND("@",$E103)))),"ok","revisar"))</f>
        <v/>
      </c>
      <c r="G103" s="30"/>
      <c r="H103" s="30"/>
      <c r="I103" s="31"/>
      <c r="J103" s="30"/>
      <c r="K103" s="29"/>
      <c r="L103" s="30"/>
      <c r="M103" s="30"/>
    </row>
    <row r="104" customFormat="false" ht="15" hidden="false" customHeight="false" outlineLevel="0" collapsed="false">
      <c r="A104" s="29"/>
      <c r="B104" s="30"/>
      <c r="C104" s="30"/>
      <c r="D104" s="30"/>
      <c r="E104" s="30"/>
      <c r="F104" s="28" t="str">
        <f aca="false">IF($E104="","",IF(AND(ISNUMBER(FIND("@",$E104)),ISNUMBER(FIND(".",$E104,FIND("@",$E104)))),"ok","revisar"))</f>
        <v/>
      </c>
      <c r="G104" s="30"/>
      <c r="H104" s="30"/>
      <c r="I104" s="31"/>
      <c r="J104" s="30"/>
      <c r="K104" s="29"/>
      <c r="L104" s="30"/>
      <c r="M104" s="30"/>
    </row>
    <row r="105" customFormat="false" ht="15" hidden="false" customHeight="false" outlineLevel="0" collapsed="false">
      <c r="A105" s="29"/>
      <c r="B105" s="30"/>
      <c r="C105" s="30"/>
      <c r="D105" s="30"/>
      <c r="E105" s="30"/>
      <c r="F105" s="28" t="str">
        <f aca="false">IF($E105="","",IF(AND(ISNUMBER(FIND("@",$E105)),ISNUMBER(FIND(".",$E105,FIND("@",$E105)))),"ok","revisar"))</f>
        <v/>
      </c>
      <c r="G105" s="30"/>
      <c r="H105" s="30"/>
      <c r="I105" s="31"/>
      <c r="J105" s="30"/>
      <c r="K105" s="29"/>
      <c r="L105" s="30"/>
      <c r="M105" s="30"/>
    </row>
    <row r="106" customFormat="false" ht="15" hidden="false" customHeight="false" outlineLevel="0" collapsed="false">
      <c r="A106" s="29"/>
      <c r="B106" s="30"/>
      <c r="C106" s="30"/>
      <c r="D106" s="30"/>
      <c r="E106" s="30"/>
      <c r="F106" s="28" t="str">
        <f aca="false">IF($E106="","",IF(AND(ISNUMBER(FIND("@",$E106)),ISNUMBER(FIND(".",$E106,FIND("@",$E106)))),"ok","revisar"))</f>
        <v/>
      </c>
      <c r="G106" s="30"/>
      <c r="H106" s="30"/>
      <c r="I106" s="31"/>
      <c r="J106" s="30"/>
      <c r="K106" s="29"/>
      <c r="L106" s="30"/>
      <c r="M106" s="30"/>
    </row>
    <row r="107" customFormat="false" ht="15" hidden="false" customHeight="false" outlineLevel="0" collapsed="false">
      <c r="A107" s="29"/>
      <c r="B107" s="30"/>
      <c r="C107" s="30"/>
      <c r="D107" s="30"/>
      <c r="E107" s="30"/>
      <c r="F107" s="28" t="str">
        <f aca="false">IF($E107="","",IF(AND(ISNUMBER(FIND("@",$E107)),ISNUMBER(FIND(".",$E107,FIND("@",$E107)))),"ok","revisar"))</f>
        <v/>
      </c>
      <c r="G107" s="30"/>
      <c r="H107" s="30"/>
      <c r="I107" s="31"/>
      <c r="J107" s="30"/>
      <c r="K107" s="29"/>
      <c r="L107" s="30"/>
      <c r="M107" s="30"/>
    </row>
    <row r="108" customFormat="false" ht="15" hidden="false" customHeight="false" outlineLevel="0" collapsed="false">
      <c r="A108" s="29"/>
      <c r="B108" s="30"/>
      <c r="C108" s="30"/>
      <c r="D108" s="30"/>
      <c r="E108" s="30"/>
      <c r="F108" s="28" t="str">
        <f aca="false">IF($E108="","",IF(AND(ISNUMBER(FIND("@",$E108)),ISNUMBER(FIND(".",$E108,FIND("@",$E108)))),"ok","revisar"))</f>
        <v/>
      </c>
      <c r="G108" s="30"/>
      <c r="H108" s="30"/>
      <c r="I108" s="31"/>
      <c r="J108" s="30"/>
      <c r="K108" s="29"/>
      <c r="L108" s="30"/>
      <c r="M108" s="30"/>
    </row>
    <row r="109" customFormat="false" ht="15" hidden="false" customHeight="false" outlineLevel="0" collapsed="false">
      <c r="A109" s="29"/>
      <c r="B109" s="30"/>
      <c r="C109" s="30"/>
      <c r="D109" s="30"/>
      <c r="E109" s="30"/>
      <c r="F109" s="28" t="str">
        <f aca="false">IF($E109="","",IF(AND(ISNUMBER(FIND("@",$E109)),ISNUMBER(FIND(".",$E109,FIND("@",$E109)))),"ok","revisar"))</f>
        <v/>
      </c>
      <c r="G109" s="30"/>
      <c r="H109" s="30"/>
      <c r="I109" s="31"/>
      <c r="J109" s="30"/>
      <c r="K109" s="29"/>
      <c r="L109" s="30"/>
      <c r="M109" s="30"/>
    </row>
    <row r="110" customFormat="false" ht="15" hidden="false" customHeight="false" outlineLevel="0" collapsed="false">
      <c r="A110" s="29"/>
      <c r="B110" s="30"/>
      <c r="C110" s="30"/>
      <c r="D110" s="30"/>
      <c r="E110" s="30"/>
      <c r="F110" s="28" t="str">
        <f aca="false">IF($E110="","",IF(AND(ISNUMBER(FIND("@",$E110)),ISNUMBER(FIND(".",$E110,FIND("@",$E110)))),"ok","revisar"))</f>
        <v/>
      </c>
      <c r="G110" s="30"/>
      <c r="H110" s="30"/>
      <c r="I110" s="31"/>
      <c r="J110" s="30"/>
      <c r="K110" s="29"/>
      <c r="L110" s="30"/>
      <c r="M110" s="30"/>
    </row>
    <row r="111" customFormat="false" ht="15" hidden="false" customHeight="false" outlineLevel="0" collapsed="false">
      <c r="A111" s="29"/>
      <c r="B111" s="30"/>
      <c r="C111" s="30"/>
      <c r="D111" s="30"/>
      <c r="E111" s="30"/>
      <c r="F111" s="28" t="str">
        <f aca="false">IF($E111="","",IF(AND(ISNUMBER(FIND("@",$E111)),ISNUMBER(FIND(".",$E111,FIND("@",$E111)))),"ok","revisar"))</f>
        <v/>
      </c>
      <c r="G111" s="30"/>
      <c r="H111" s="30"/>
      <c r="I111" s="31"/>
      <c r="J111" s="30"/>
      <c r="K111" s="29"/>
      <c r="L111" s="30"/>
      <c r="M111" s="30"/>
    </row>
    <row r="112" customFormat="false" ht="15" hidden="false" customHeight="false" outlineLevel="0" collapsed="false">
      <c r="A112" s="29"/>
      <c r="B112" s="30"/>
      <c r="C112" s="30"/>
      <c r="D112" s="30"/>
      <c r="E112" s="30"/>
      <c r="F112" s="28" t="str">
        <f aca="false">IF($E112="","",IF(AND(ISNUMBER(FIND("@",$E112)),ISNUMBER(FIND(".",$E112,FIND("@",$E112)))),"ok","revisar"))</f>
        <v/>
      </c>
      <c r="G112" s="30"/>
      <c r="H112" s="30"/>
      <c r="I112" s="31"/>
      <c r="J112" s="30"/>
      <c r="K112" s="29"/>
      <c r="L112" s="30"/>
      <c r="M112" s="30"/>
    </row>
    <row r="113" customFormat="false" ht="15" hidden="false" customHeight="false" outlineLevel="0" collapsed="false">
      <c r="A113" s="29"/>
      <c r="B113" s="30"/>
      <c r="C113" s="30"/>
      <c r="D113" s="30"/>
      <c r="E113" s="30"/>
      <c r="F113" s="28" t="str">
        <f aca="false">IF($E113="","",IF(AND(ISNUMBER(FIND("@",$E113)),ISNUMBER(FIND(".",$E113,FIND("@",$E113)))),"ok","revisar"))</f>
        <v/>
      </c>
      <c r="G113" s="30"/>
      <c r="H113" s="30"/>
      <c r="I113" s="31"/>
      <c r="J113" s="30"/>
      <c r="K113" s="29"/>
      <c r="L113" s="30"/>
      <c r="M113" s="30"/>
    </row>
    <row r="114" customFormat="false" ht="15" hidden="false" customHeight="false" outlineLevel="0" collapsed="false">
      <c r="A114" s="29"/>
      <c r="B114" s="30"/>
      <c r="C114" s="30"/>
      <c r="D114" s="30"/>
      <c r="E114" s="30"/>
      <c r="F114" s="28" t="str">
        <f aca="false">IF($E114="","",IF(AND(ISNUMBER(FIND("@",$E114)),ISNUMBER(FIND(".",$E114,FIND("@",$E114)))),"ok","revisar"))</f>
        <v/>
      </c>
      <c r="G114" s="30"/>
      <c r="H114" s="30"/>
      <c r="I114" s="31"/>
      <c r="J114" s="30"/>
      <c r="K114" s="29"/>
      <c r="L114" s="30"/>
      <c r="M114" s="30"/>
    </row>
    <row r="115" customFormat="false" ht="15" hidden="false" customHeight="false" outlineLevel="0" collapsed="false">
      <c r="A115" s="29"/>
      <c r="B115" s="30"/>
      <c r="C115" s="30"/>
      <c r="D115" s="30"/>
      <c r="E115" s="30"/>
      <c r="F115" s="28" t="str">
        <f aca="false">IF($E115="","",IF(AND(ISNUMBER(FIND("@",$E115)),ISNUMBER(FIND(".",$E115,FIND("@",$E115)))),"ok","revisar"))</f>
        <v/>
      </c>
      <c r="G115" s="30"/>
      <c r="H115" s="30"/>
      <c r="I115" s="31"/>
      <c r="J115" s="30"/>
      <c r="K115" s="29"/>
      <c r="L115" s="30"/>
      <c r="M115" s="30"/>
    </row>
    <row r="116" customFormat="false" ht="15" hidden="false" customHeight="false" outlineLevel="0" collapsed="false">
      <c r="A116" s="29"/>
      <c r="B116" s="30"/>
      <c r="C116" s="30"/>
      <c r="D116" s="30"/>
      <c r="E116" s="30"/>
      <c r="F116" s="28" t="str">
        <f aca="false">IF($E116="","",IF(AND(ISNUMBER(FIND("@",$E116)),ISNUMBER(FIND(".",$E116,FIND("@",$E116)))),"ok","revisar"))</f>
        <v/>
      </c>
      <c r="G116" s="30"/>
      <c r="H116" s="30"/>
      <c r="I116" s="31"/>
      <c r="J116" s="30"/>
      <c r="K116" s="29"/>
      <c r="L116" s="30"/>
      <c r="M116" s="30"/>
    </row>
    <row r="117" customFormat="false" ht="15" hidden="false" customHeight="false" outlineLevel="0" collapsed="false">
      <c r="A117" s="29"/>
      <c r="B117" s="30"/>
      <c r="C117" s="30"/>
      <c r="D117" s="30"/>
      <c r="E117" s="30"/>
      <c r="F117" s="28" t="str">
        <f aca="false">IF($E117="","",IF(AND(ISNUMBER(FIND("@",$E117)),ISNUMBER(FIND(".",$E117,FIND("@",$E117)))),"ok","revisar"))</f>
        <v/>
      </c>
      <c r="G117" s="30"/>
      <c r="H117" s="30"/>
      <c r="I117" s="31"/>
      <c r="J117" s="30"/>
      <c r="K117" s="29"/>
      <c r="L117" s="30"/>
      <c r="M117" s="30"/>
    </row>
    <row r="118" customFormat="false" ht="15" hidden="false" customHeight="false" outlineLevel="0" collapsed="false">
      <c r="A118" s="29"/>
      <c r="B118" s="30"/>
      <c r="C118" s="30"/>
      <c r="D118" s="30"/>
      <c r="E118" s="30"/>
      <c r="F118" s="28" t="str">
        <f aca="false">IF($E118="","",IF(AND(ISNUMBER(FIND("@",$E118)),ISNUMBER(FIND(".",$E118,FIND("@",$E118)))),"ok","revisar"))</f>
        <v/>
      </c>
      <c r="G118" s="30"/>
      <c r="H118" s="30"/>
      <c r="I118" s="31"/>
      <c r="J118" s="30"/>
      <c r="K118" s="29"/>
      <c r="L118" s="30"/>
      <c r="M118" s="30"/>
    </row>
    <row r="119" customFormat="false" ht="15" hidden="false" customHeight="false" outlineLevel="0" collapsed="false">
      <c r="A119" s="29"/>
      <c r="B119" s="30"/>
      <c r="C119" s="30"/>
      <c r="D119" s="30"/>
      <c r="E119" s="30"/>
      <c r="F119" s="28" t="str">
        <f aca="false">IF($E119="","",IF(AND(ISNUMBER(FIND("@",$E119)),ISNUMBER(FIND(".",$E119,FIND("@",$E119)))),"ok","revisar"))</f>
        <v/>
      </c>
      <c r="G119" s="30"/>
      <c r="H119" s="30"/>
      <c r="I119" s="31"/>
      <c r="J119" s="30"/>
      <c r="K119" s="29"/>
      <c r="L119" s="30"/>
      <c r="M119" s="30"/>
    </row>
    <row r="120" customFormat="false" ht="15" hidden="false" customHeight="false" outlineLevel="0" collapsed="false">
      <c r="A120" s="29"/>
      <c r="B120" s="30"/>
      <c r="C120" s="30"/>
      <c r="D120" s="30"/>
      <c r="E120" s="30"/>
      <c r="F120" s="28" t="str">
        <f aca="false">IF($E120="","",IF(AND(ISNUMBER(FIND("@",$E120)),ISNUMBER(FIND(".",$E120,FIND("@",$E120)))),"ok","revisar"))</f>
        <v/>
      </c>
      <c r="G120" s="30"/>
      <c r="H120" s="30"/>
      <c r="I120" s="31"/>
      <c r="J120" s="30"/>
      <c r="K120" s="29"/>
      <c r="L120" s="30"/>
      <c r="M120" s="30"/>
    </row>
    <row r="121" customFormat="false" ht="15" hidden="false" customHeight="false" outlineLevel="0" collapsed="false">
      <c r="A121" s="29"/>
      <c r="B121" s="30"/>
      <c r="C121" s="30"/>
      <c r="D121" s="30"/>
      <c r="E121" s="30"/>
      <c r="F121" s="28" t="str">
        <f aca="false">IF($E121="","",IF(AND(ISNUMBER(FIND("@",$E121)),ISNUMBER(FIND(".",$E121,FIND("@",$E121)))),"ok","revisar"))</f>
        <v/>
      </c>
      <c r="G121" s="30"/>
      <c r="H121" s="30"/>
      <c r="I121" s="31"/>
      <c r="J121" s="30"/>
      <c r="K121" s="29"/>
      <c r="L121" s="30"/>
      <c r="M121" s="30"/>
    </row>
    <row r="122" customFormat="false" ht="15" hidden="false" customHeight="false" outlineLevel="0" collapsed="false">
      <c r="A122" s="29"/>
      <c r="B122" s="30"/>
      <c r="C122" s="30"/>
      <c r="D122" s="30"/>
      <c r="E122" s="30"/>
      <c r="F122" s="28" t="str">
        <f aca="false">IF($E122="","",IF(AND(ISNUMBER(FIND("@",$E122)),ISNUMBER(FIND(".",$E122,FIND("@",$E122)))),"ok","revisar"))</f>
        <v/>
      </c>
      <c r="G122" s="30"/>
      <c r="H122" s="30"/>
      <c r="I122" s="31"/>
      <c r="J122" s="30"/>
      <c r="K122" s="29"/>
      <c r="L122" s="30"/>
      <c r="M122" s="30"/>
    </row>
    <row r="123" customFormat="false" ht="15" hidden="false" customHeight="false" outlineLevel="0" collapsed="false">
      <c r="A123" s="29"/>
      <c r="B123" s="30"/>
      <c r="C123" s="30"/>
      <c r="D123" s="30"/>
      <c r="E123" s="30"/>
      <c r="F123" s="28" t="str">
        <f aca="false">IF($E123="","",IF(AND(ISNUMBER(FIND("@",$E123)),ISNUMBER(FIND(".",$E123,FIND("@",$E123)))),"ok","revisar"))</f>
        <v/>
      </c>
      <c r="G123" s="30"/>
      <c r="H123" s="30"/>
      <c r="I123" s="31"/>
      <c r="J123" s="30"/>
      <c r="K123" s="29"/>
      <c r="L123" s="30"/>
      <c r="M123" s="30"/>
    </row>
    <row r="124" customFormat="false" ht="15" hidden="false" customHeight="false" outlineLevel="0" collapsed="false">
      <c r="A124" s="29"/>
      <c r="B124" s="30"/>
      <c r="C124" s="30"/>
      <c r="D124" s="30"/>
      <c r="E124" s="30"/>
      <c r="F124" s="28" t="str">
        <f aca="false">IF($E124="","",IF(AND(ISNUMBER(FIND("@",$E124)),ISNUMBER(FIND(".",$E124,FIND("@",$E124)))),"ok","revisar"))</f>
        <v/>
      </c>
      <c r="G124" s="30"/>
      <c r="H124" s="30"/>
      <c r="I124" s="31"/>
      <c r="J124" s="30"/>
      <c r="K124" s="29"/>
      <c r="L124" s="30"/>
      <c r="M124" s="30"/>
    </row>
    <row r="125" customFormat="false" ht="15" hidden="false" customHeight="false" outlineLevel="0" collapsed="false">
      <c r="A125" s="29"/>
      <c r="B125" s="30"/>
      <c r="C125" s="30"/>
      <c r="D125" s="30"/>
      <c r="E125" s="30"/>
      <c r="F125" s="28" t="str">
        <f aca="false">IF($E125="","",IF(AND(ISNUMBER(FIND("@",$E125)),ISNUMBER(FIND(".",$E125,FIND("@",$E125)))),"ok","revisar"))</f>
        <v/>
      </c>
      <c r="G125" s="30"/>
      <c r="H125" s="30"/>
      <c r="I125" s="31"/>
      <c r="J125" s="30"/>
      <c r="K125" s="29"/>
      <c r="L125" s="30"/>
      <c r="M125" s="30"/>
    </row>
    <row r="126" customFormat="false" ht="15" hidden="false" customHeight="false" outlineLevel="0" collapsed="false">
      <c r="A126" s="29"/>
      <c r="B126" s="30"/>
      <c r="C126" s="30"/>
      <c r="D126" s="30"/>
      <c r="E126" s="30"/>
      <c r="F126" s="28" t="str">
        <f aca="false">IF($E126="","",IF(AND(ISNUMBER(FIND("@",$E126)),ISNUMBER(FIND(".",$E126,FIND("@",$E126)))),"ok","revisar"))</f>
        <v/>
      </c>
      <c r="G126" s="30"/>
      <c r="H126" s="30"/>
      <c r="I126" s="31"/>
      <c r="J126" s="30"/>
      <c r="K126" s="29"/>
      <c r="L126" s="30"/>
      <c r="M126" s="30"/>
    </row>
    <row r="127" customFormat="false" ht="15" hidden="false" customHeight="false" outlineLevel="0" collapsed="false">
      <c r="A127" s="29"/>
      <c r="B127" s="30"/>
      <c r="C127" s="30"/>
      <c r="D127" s="30"/>
      <c r="E127" s="30"/>
      <c r="F127" s="28" t="str">
        <f aca="false">IF($E127="","",IF(AND(ISNUMBER(FIND("@",$E127)),ISNUMBER(FIND(".",$E127,FIND("@",$E127)))),"ok","revisar"))</f>
        <v/>
      </c>
      <c r="G127" s="30"/>
      <c r="H127" s="30"/>
      <c r="I127" s="31"/>
      <c r="J127" s="30"/>
      <c r="K127" s="29"/>
      <c r="L127" s="30"/>
      <c r="M127" s="30"/>
    </row>
    <row r="128" customFormat="false" ht="15" hidden="false" customHeight="false" outlineLevel="0" collapsed="false">
      <c r="A128" s="29"/>
      <c r="B128" s="30"/>
      <c r="C128" s="30"/>
      <c r="D128" s="30"/>
      <c r="E128" s="30"/>
      <c r="F128" s="28" t="str">
        <f aca="false">IF($E128="","",IF(AND(ISNUMBER(FIND("@",$E128)),ISNUMBER(FIND(".",$E128,FIND("@",$E128)))),"ok","revisar"))</f>
        <v/>
      </c>
      <c r="G128" s="30"/>
      <c r="H128" s="30"/>
      <c r="I128" s="31"/>
      <c r="J128" s="30"/>
      <c r="K128" s="29"/>
      <c r="L128" s="30"/>
      <c r="M128" s="30"/>
    </row>
    <row r="129" customFormat="false" ht="15" hidden="false" customHeight="false" outlineLevel="0" collapsed="false">
      <c r="A129" s="29"/>
      <c r="B129" s="30"/>
      <c r="C129" s="30"/>
      <c r="D129" s="30"/>
      <c r="E129" s="30"/>
      <c r="F129" s="28" t="str">
        <f aca="false">IF($E129="","",IF(AND(ISNUMBER(FIND("@",$E129)),ISNUMBER(FIND(".",$E129,FIND("@",$E129)))),"ok","revisar"))</f>
        <v/>
      </c>
      <c r="G129" s="30"/>
      <c r="H129" s="30"/>
      <c r="I129" s="31"/>
      <c r="J129" s="30"/>
      <c r="K129" s="29"/>
      <c r="L129" s="30"/>
      <c r="M129" s="30"/>
    </row>
    <row r="130" customFormat="false" ht="15" hidden="false" customHeight="false" outlineLevel="0" collapsed="false">
      <c r="A130" s="29"/>
      <c r="B130" s="30"/>
      <c r="C130" s="30"/>
      <c r="D130" s="30"/>
      <c r="E130" s="30"/>
      <c r="F130" s="28" t="str">
        <f aca="false">IF($E130="","",IF(AND(ISNUMBER(FIND("@",$E130)),ISNUMBER(FIND(".",$E130,FIND("@",$E130)))),"ok","revisar"))</f>
        <v/>
      </c>
      <c r="G130" s="30"/>
      <c r="H130" s="30"/>
      <c r="I130" s="31"/>
      <c r="J130" s="30"/>
      <c r="K130" s="29"/>
      <c r="L130" s="30"/>
      <c r="M130" s="30"/>
    </row>
    <row r="131" customFormat="false" ht="15" hidden="false" customHeight="false" outlineLevel="0" collapsed="false">
      <c r="A131" s="29"/>
      <c r="B131" s="30"/>
      <c r="C131" s="30"/>
      <c r="D131" s="30"/>
      <c r="E131" s="30"/>
      <c r="F131" s="28" t="str">
        <f aca="false">IF($E131="","",IF(AND(ISNUMBER(FIND("@",$E131)),ISNUMBER(FIND(".",$E131,FIND("@",$E131)))),"ok","revisar"))</f>
        <v/>
      </c>
      <c r="G131" s="30"/>
      <c r="H131" s="30"/>
      <c r="I131" s="31"/>
      <c r="J131" s="30"/>
      <c r="K131" s="29"/>
      <c r="L131" s="30"/>
      <c r="M131" s="30"/>
    </row>
    <row r="132" customFormat="false" ht="15" hidden="false" customHeight="false" outlineLevel="0" collapsed="false">
      <c r="A132" s="29"/>
      <c r="B132" s="30"/>
      <c r="C132" s="30"/>
      <c r="D132" s="30"/>
      <c r="E132" s="30"/>
      <c r="F132" s="28" t="str">
        <f aca="false">IF($E132="","",IF(AND(ISNUMBER(FIND("@",$E132)),ISNUMBER(FIND(".",$E132,FIND("@",$E132)))),"ok","revisar"))</f>
        <v/>
      </c>
      <c r="G132" s="30"/>
      <c r="H132" s="30"/>
      <c r="I132" s="31"/>
      <c r="J132" s="30"/>
      <c r="K132" s="29"/>
      <c r="L132" s="30"/>
      <c r="M132" s="30"/>
    </row>
    <row r="133" customFormat="false" ht="15" hidden="false" customHeight="false" outlineLevel="0" collapsed="false">
      <c r="A133" s="29"/>
      <c r="B133" s="30"/>
      <c r="C133" s="30"/>
      <c r="D133" s="30"/>
      <c r="E133" s="30"/>
      <c r="F133" s="28" t="str">
        <f aca="false">IF($E133="","",IF(AND(ISNUMBER(FIND("@",$E133)),ISNUMBER(FIND(".",$E133,FIND("@",$E133)))),"ok","revisar"))</f>
        <v/>
      </c>
      <c r="G133" s="30"/>
      <c r="H133" s="30"/>
      <c r="I133" s="31"/>
      <c r="J133" s="30"/>
      <c r="K133" s="29"/>
      <c r="L133" s="30"/>
      <c r="M133" s="30"/>
    </row>
    <row r="134" customFormat="false" ht="15" hidden="false" customHeight="false" outlineLevel="0" collapsed="false">
      <c r="A134" s="29"/>
      <c r="B134" s="30"/>
      <c r="C134" s="30"/>
      <c r="D134" s="30"/>
      <c r="E134" s="30"/>
      <c r="F134" s="28" t="str">
        <f aca="false">IF($E134="","",IF(AND(ISNUMBER(FIND("@",$E134)),ISNUMBER(FIND(".",$E134,FIND("@",$E134)))),"ok","revisar"))</f>
        <v/>
      </c>
      <c r="G134" s="30"/>
      <c r="H134" s="30"/>
      <c r="I134" s="31"/>
      <c r="J134" s="30"/>
      <c r="K134" s="29"/>
      <c r="L134" s="30"/>
      <c r="M134" s="30"/>
    </row>
    <row r="135" customFormat="false" ht="15" hidden="false" customHeight="false" outlineLevel="0" collapsed="false">
      <c r="A135" s="29"/>
      <c r="B135" s="30"/>
      <c r="C135" s="30"/>
      <c r="D135" s="30"/>
      <c r="E135" s="30"/>
      <c r="F135" s="28" t="str">
        <f aca="false">IF($E135="","",IF(AND(ISNUMBER(FIND("@",$E135)),ISNUMBER(FIND(".",$E135,FIND("@",$E135)))),"ok","revisar"))</f>
        <v/>
      </c>
      <c r="G135" s="30"/>
      <c r="H135" s="30"/>
      <c r="I135" s="31"/>
      <c r="J135" s="30"/>
      <c r="K135" s="29"/>
      <c r="L135" s="30"/>
      <c r="M135" s="30"/>
    </row>
    <row r="136" customFormat="false" ht="15" hidden="false" customHeight="false" outlineLevel="0" collapsed="false">
      <c r="A136" s="29"/>
      <c r="B136" s="30"/>
      <c r="C136" s="30"/>
      <c r="D136" s="30"/>
      <c r="E136" s="30"/>
      <c r="F136" s="28" t="str">
        <f aca="false">IF($E136="","",IF(AND(ISNUMBER(FIND("@",$E136)),ISNUMBER(FIND(".",$E136,FIND("@",$E136)))),"ok","revisar"))</f>
        <v/>
      </c>
      <c r="G136" s="30"/>
      <c r="H136" s="30"/>
      <c r="I136" s="31"/>
      <c r="J136" s="30"/>
      <c r="K136" s="29"/>
      <c r="L136" s="30"/>
      <c r="M136" s="30"/>
    </row>
    <row r="137" customFormat="false" ht="15" hidden="false" customHeight="false" outlineLevel="0" collapsed="false">
      <c r="A137" s="29"/>
      <c r="B137" s="30"/>
      <c r="C137" s="30"/>
      <c r="D137" s="30"/>
      <c r="E137" s="30"/>
      <c r="F137" s="28" t="str">
        <f aca="false">IF($E137="","",IF(AND(ISNUMBER(FIND("@",$E137)),ISNUMBER(FIND(".",$E137,FIND("@",$E137)))),"ok","revisar"))</f>
        <v/>
      </c>
      <c r="G137" s="30"/>
      <c r="H137" s="30"/>
      <c r="I137" s="31"/>
      <c r="J137" s="30"/>
      <c r="K137" s="29"/>
      <c r="L137" s="30"/>
      <c r="M137" s="30"/>
    </row>
    <row r="138" customFormat="false" ht="15" hidden="false" customHeight="false" outlineLevel="0" collapsed="false">
      <c r="A138" s="29"/>
      <c r="B138" s="30"/>
      <c r="C138" s="30"/>
      <c r="D138" s="30"/>
      <c r="E138" s="30"/>
      <c r="F138" s="28" t="str">
        <f aca="false">IF($E138="","",IF(AND(ISNUMBER(FIND("@",$E138)),ISNUMBER(FIND(".",$E138,FIND("@",$E138)))),"ok","revisar"))</f>
        <v/>
      </c>
      <c r="G138" s="30"/>
      <c r="H138" s="30"/>
      <c r="I138" s="31"/>
      <c r="J138" s="30"/>
      <c r="K138" s="29"/>
      <c r="L138" s="30"/>
      <c r="M138" s="30"/>
    </row>
    <row r="139" customFormat="false" ht="15" hidden="false" customHeight="false" outlineLevel="0" collapsed="false">
      <c r="A139" s="29"/>
      <c r="B139" s="30"/>
      <c r="C139" s="30"/>
      <c r="D139" s="30"/>
      <c r="E139" s="30"/>
      <c r="F139" s="28" t="str">
        <f aca="false">IF($E139="","",IF(AND(ISNUMBER(FIND("@",$E139)),ISNUMBER(FIND(".",$E139,FIND("@",$E139)))),"ok","revisar"))</f>
        <v/>
      </c>
      <c r="G139" s="30"/>
      <c r="H139" s="30"/>
      <c r="I139" s="31"/>
      <c r="J139" s="30"/>
      <c r="K139" s="29"/>
      <c r="L139" s="30"/>
      <c r="M139" s="30"/>
    </row>
    <row r="140" customFormat="false" ht="15" hidden="false" customHeight="false" outlineLevel="0" collapsed="false">
      <c r="A140" s="29"/>
      <c r="B140" s="30"/>
      <c r="C140" s="30"/>
      <c r="D140" s="30"/>
      <c r="E140" s="30"/>
      <c r="F140" s="28" t="str">
        <f aca="false">IF($E140="","",IF(AND(ISNUMBER(FIND("@",$E140)),ISNUMBER(FIND(".",$E140,FIND("@",$E140)))),"ok","revisar"))</f>
        <v/>
      </c>
      <c r="G140" s="30"/>
      <c r="H140" s="30"/>
      <c r="I140" s="31"/>
      <c r="J140" s="30"/>
      <c r="K140" s="29"/>
      <c r="L140" s="30"/>
      <c r="M140" s="30"/>
    </row>
    <row r="141" customFormat="false" ht="15" hidden="false" customHeight="false" outlineLevel="0" collapsed="false">
      <c r="A141" s="29"/>
      <c r="B141" s="30"/>
      <c r="C141" s="30"/>
      <c r="D141" s="30"/>
      <c r="E141" s="30"/>
      <c r="F141" s="28" t="str">
        <f aca="false">IF($E141="","",IF(AND(ISNUMBER(FIND("@",$E141)),ISNUMBER(FIND(".",$E141,FIND("@",$E141)))),"ok","revisar"))</f>
        <v/>
      </c>
      <c r="G141" s="30"/>
      <c r="H141" s="30"/>
      <c r="I141" s="31"/>
      <c r="J141" s="30"/>
      <c r="K141" s="29"/>
      <c r="L141" s="30"/>
      <c r="M141" s="30"/>
    </row>
    <row r="142" customFormat="false" ht="15" hidden="false" customHeight="false" outlineLevel="0" collapsed="false">
      <c r="A142" s="29"/>
      <c r="B142" s="30"/>
      <c r="C142" s="30"/>
      <c r="D142" s="30"/>
      <c r="E142" s="30"/>
      <c r="F142" s="28" t="str">
        <f aca="false">IF($E142="","",IF(AND(ISNUMBER(FIND("@",$E142)),ISNUMBER(FIND(".",$E142,FIND("@",$E142)))),"ok","revisar"))</f>
        <v/>
      </c>
      <c r="G142" s="30"/>
      <c r="H142" s="30"/>
      <c r="I142" s="31"/>
      <c r="J142" s="30"/>
      <c r="K142" s="29"/>
      <c r="L142" s="30"/>
      <c r="M142" s="30"/>
    </row>
    <row r="143" customFormat="false" ht="15" hidden="false" customHeight="false" outlineLevel="0" collapsed="false">
      <c r="A143" s="29"/>
      <c r="B143" s="30"/>
      <c r="C143" s="30"/>
      <c r="D143" s="30"/>
      <c r="E143" s="30"/>
      <c r="F143" s="28" t="str">
        <f aca="false">IF($E143="","",IF(AND(ISNUMBER(FIND("@",$E143)),ISNUMBER(FIND(".",$E143,FIND("@",$E143)))),"ok","revisar"))</f>
        <v/>
      </c>
      <c r="G143" s="30"/>
      <c r="H143" s="30"/>
      <c r="I143" s="31"/>
      <c r="J143" s="30"/>
      <c r="K143" s="29"/>
      <c r="L143" s="30"/>
      <c r="M143" s="30"/>
    </row>
    <row r="144" customFormat="false" ht="15" hidden="false" customHeight="false" outlineLevel="0" collapsed="false">
      <c r="A144" s="29"/>
      <c r="B144" s="30"/>
      <c r="C144" s="30"/>
      <c r="D144" s="30"/>
      <c r="E144" s="30"/>
      <c r="F144" s="28" t="str">
        <f aca="false">IF($E144="","",IF(AND(ISNUMBER(FIND("@",$E144)),ISNUMBER(FIND(".",$E144,FIND("@",$E144)))),"ok","revisar"))</f>
        <v/>
      </c>
      <c r="G144" s="30"/>
      <c r="H144" s="30"/>
      <c r="I144" s="31"/>
      <c r="J144" s="30"/>
      <c r="K144" s="29"/>
      <c r="L144" s="30"/>
      <c r="M144" s="30"/>
    </row>
    <row r="145" customFormat="false" ht="15" hidden="false" customHeight="false" outlineLevel="0" collapsed="false">
      <c r="A145" s="29"/>
      <c r="B145" s="30"/>
      <c r="C145" s="30"/>
      <c r="D145" s="30"/>
      <c r="E145" s="30"/>
      <c r="F145" s="28" t="str">
        <f aca="false">IF($E145="","",IF(AND(ISNUMBER(FIND("@",$E145)),ISNUMBER(FIND(".",$E145,FIND("@",$E145)))),"ok","revisar"))</f>
        <v/>
      </c>
      <c r="G145" s="30"/>
      <c r="H145" s="30"/>
      <c r="I145" s="31"/>
      <c r="J145" s="30"/>
      <c r="K145" s="29"/>
      <c r="L145" s="30"/>
      <c r="M145" s="30"/>
    </row>
    <row r="146" customFormat="false" ht="15" hidden="false" customHeight="false" outlineLevel="0" collapsed="false">
      <c r="A146" s="29"/>
      <c r="B146" s="30"/>
      <c r="C146" s="30"/>
      <c r="D146" s="30"/>
      <c r="E146" s="30"/>
      <c r="F146" s="28" t="str">
        <f aca="false">IF($E146="","",IF(AND(ISNUMBER(FIND("@",$E146)),ISNUMBER(FIND(".",$E146,FIND("@",$E146)))),"ok","revisar"))</f>
        <v/>
      </c>
      <c r="G146" s="30"/>
      <c r="H146" s="30"/>
      <c r="I146" s="31"/>
      <c r="J146" s="30"/>
      <c r="K146" s="29"/>
      <c r="L146" s="30"/>
      <c r="M146" s="30"/>
    </row>
    <row r="147" customFormat="false" ht="15" hidden="false" customHeight="false" outlineLevel="0" collapsed="false">
      <c r="A147" s="29"/>
      <c r="B147" s="30"/>
      <c r="C147" s="30"/>
      <c r="D147" s="30"/>
      <c r="E147" s="30"/>
      <c r="F147" s="28" t="str">
        <f aca="false">IF($E147="","",IF(AND(ISNUMBER(FIND("@",$E147)),ISNUMBER(FIND(".",$E147,FIND("@",$E147)))),"ok","revisar"))</f>
        <v/>
      </c>
      <c r="G147" s="30"/>
      <c r="H147" s="30"/>
      <c r="I147" s="31"/>
      <c r="J147" s="30"/>
      <c r="K147" s="29"/>
      <c r="L147" s="30"/>
      <c r="M147" s="30"/>
    </row>
    <row r="148" customFormat="false" ht="15" hidden="false" customHeight="false" outlineLevel="0" collapsed="false">
      <c r="A148" s="29"/>
      <c r="B148" s="30"/>
      <c r="C148" s="30"/>
      <c r="D148" s="30"/>
      <c r="E148" s="30"/>
      <c r="F148" s="28" t="str">
        <f aca="false">IF($E148="","",IF(AND(ISNUMBER(FIND("@",$E148)),ISNUMBER(FIND(".",$E148,FIND("@",$E148)))),"ok","revisar"))</f>
        <v/>
      </c>
      <c r="G148" s="30"/>
      <c r="H148" s="30"/>
      <c r="I148" s="31"/>
      <c r="J148" s="30"/>
      <c r="K148" s="29"/>
      <c r="L148" s="30"/>
      <c r="M148" s="30"/>
    </row>
    <row r="149" customFormat="false" ht="15" hidden="false" customHeight="false" outlineLevel="0" collapsed="false">
      <c r="A149" s="29"/>
      <c r="B149" s="30"/>
      <c r="C149" s="30"/>
      <c r="D149" s="30"/>
      <c r="E149" s="30"/>
      <c r="F149" s="28" t="str">
        <f aca="false">IF($E149="","",IF(AND(ISNUMBER(FIND("@",$E149)),ISNUMBER(FIND(".",$E149,FIND("@",$E149)))),"ok","revisar"))</f>
        <v/>
      </c>
      <c r="G149" s="30"/>
      <c r="H149" s="30"/>
      <c r="I149" s="31"/>
      <c r="J149" s="30"/>
      <c r="K149" s="29"/>
      <c r="L149" s="30"/>
      <c r="M149" s="30"/>
    </row>
    <row r="150" customFormat="false" ht="15" hidden="false" customHeight="false" outlineLevel="0" collapsed="false">
      <c r="A150" s="29"/>
      <c r="B150" s="30"/>
      <c r="C150" s="30"/>
      <c r="D150" s="30"/>
      <c r="E150" s="30"/>
      <c r="F150" s="28" t="str">
        <f aca="false">IF($E150="","",IF(AND(ISNUMBER(FIND("@",$E150)),ISNUMBER(FIND(".",$E150,FIND("@",$E150)))),"ok","revisar"))</f>
        <v/>
      </c>
      <c r="G150" s="30"/>
      <c r="H150" s="30"/>
      <c r="I150" s="31"/>
      <c r="J150" s="30"/>
      <c r="K150" s="29"/>
      <c r="L150" s="30"/>
      <c r="M150" s="30"/>
    </row>
    <row r="151" customFormat="false" ht="15" hidden="false" customHeight="false" outlineLevel="0" collapsed="false">
      <c r="A151" s="29"/>
      <c r="B151" s="30"/>
      <c r="C151" s="30"/>
      <c r="D151" s="30"/>
      <c r="E151" s="30"/>
      <c r="F151" s="28" t="str">
        <f aca="false">IF($E151="","",IF(AND(ISNUMBER(FIND("@",$E151)),ISNUMBER(FIND(".",$E151,FIND("@",$E151)))),"ok","revisar"))</f>
        <v/>
      </c>
      <c r="G151" s="30"/>
      <c r="H151" s="30"/>
      <c r="I151" s="31"/>
      <c r="J151" s="30"/>
      <c r="K151" s="29"/>
      <c r="L151" s="30"/>
      <c r="M151" s="30"/>
    </row>
    <row r="152" customFormat="false" ht="15" hidden="false" customHeight="false" outlineLevel="0" collapsed="false">
      <c r="A152" s="29"/>
      <c r="B152" s="30"/>
      <c r="C152" s="30"/>
      <c r="D152" s="30"/>
      <c r="E152" s="30"/>
      <c r="F152" s="28" t="str">
        <f aca="false">IF($E152="","",IF(AND(ISNUMBER(FIND("@",$E152)),ISNUMBER(FIND(".",$E152,FIND("@",$E152)))),"ok","revisar"))</f>
        <v/>
      </c>
      <c r="G152" s="30"/>
      <c r="H152" s="30"/>
      <c r="I152" s="31"/>
      <c r="J152" s="30"/>
      <c r="K152" s="29"/>
      <c r="L152" s="30"/>
      <c r="M152" s="30"/>
    </row>
    <row r="153" customFormat="false" ht="15" hidden="false" customHeight="false" outlineLevel="0" collapsed="false">
      <c r="A153" s="29"/>
      <c r="B153" s="30"/>
      <c r="C153" s="30"/>
      <c r="D153" s="30"/>
      <c r="E153" s="30"/>
      <c r="F153" s="28" t="str">
        <f aca="false">IF($E153="","",IF(AND(ISNUMBER(FIND("@",$E153)),ISNUMBER(FIND(".",$E153,FIND("@",$E153)))),"ok","revisar"))</f>
        <v/>
      </c>
      <c r="G153" s="30"/>
      <c r="H153" s="30"/>
      <c r="I153" s="31"/>
      <c r="J153" s="30"/>
      <c r="K153" s="29"/>
      <c r="L153" s="30"/>
      <c r="M153" s="30"/>
    </row>
    <row r="154" customFormat="false" ht="15" hidden="false" customHeight="false" outlineLevel="0" collapsed="false">
      <c r="A154" s="29"/>
      <c r="B154" s="30"/>
      <c r="C154" s="30"/>
      <c r="D154" s="30"/>
      <c r="E154" s="30"/>
      <c r="F154" s="28" t="str">
        <f aca="false">IF($E154="","",IF(AND(ISNUMBER(FIND("@",$E154)),ISNUMBER(FIND(".",$E154,FIND("@",$E154)))),"ok","revisar"))</f>
        <v/>
      </c>
      <c r="G154" s="30"/>
      <c r="H154" s="30"/>
      <c r="I154" s="31"/>
      <c r="J154" s="30"/>
      <c r="K154" s="29"/>
      <c r="L154" s="30"/>
      <c r="M154" s="30"/>
    </row>
    <row r="155" customFormat="false" ht="15" hidden="false" customHeight="false" outlineLevel="0" collapsed="false">
      <c r="A155" s="29"/>
      <c r="B155" s="30"/>
      <c r="C155" s="30"/>
      <c r="D155" s="30"/>
      <c r="E155" s="30"/>
      <c r="F155" s="28" t="str">
        <f aca="false">IF($E155="","",IF(AND(ISNUMBER(FIND("@",$E155)),ISNUMBER(FIND(".",$E155,FIND("@",$E155)))),"ok","revisar"))</f>
        <v/>
      </c>
      <c r="G155" s="30"/>
      <c r="H155" s="30"/>
      <c r="I155" s="31"/>
      <c r="J155" s="30"/>
      <c r="K155" s="29"/>
      <c r="L155" s="30"/>
      <c r="M155" s="30"/>
    </row>
    <row r="156" customFormat="false" ht="15" hidden="false" customHeight="false" outlineLevel="0" collapsed="false">
      <c r="A156" s="29"/>
      <c r="B156" s="30"/>
      <c r="C156" s="30"/>
      <c r="D156" s="30"/>
      <c r="E156" s="30"/>
      <c r="F156" s="28" t="str">
        <f aca="false">IF($E156="","",IF(AND(ISNUMBER(FIND("@",$E156)),ISNUMBER(FIND(".",$E156,FIND("@",$E156)))),"ok","revisar"))</f>
        <v/>
      </c>
      <c r="G156" s="30"/>
      <c r="H156" s="30"/>
      <c r="I156" s="31"/>
      <c r="J156" s="30"/>
      <c r="K156" s="29"/>
      <c r="L156" s="30"/>
      <c r="M156" s="30"/>
    </row>
    <row r="157" customFormat="false" ht="15" hidden="false" customHeight="false" outlineLevel="0" collapsed="false">
      <c r="A157" s="29"/>
      <c r="B157" s="30"/>
      <c r="C157" s="30"/>
      <c r="D157" s="30"/>
      <c r="E157" s="30"/>
      <c r="F157" s="28" t="str">
        <f aca="false">IF($E157="","",IF(AND(ISNUMBER(FIND("@",$E157)),ISNUMBER(FIND(".",$E157,FIND("@",$E157)))),"ok","revisar"))</f>
        <v/>
      </c>
      <c r="G157" s="30"/>
      <c r="H157" s="30"/>
      <c r="I157" s="31"/>
      <c r="J157" s="30"/>
      <c r="K157" s="29"/>
      <c r="L157" s="30"/>
      <c r="M157" s="30"/>
    </row>
    <row r="158" customFormat="false" ht="15" hidden="false" customHeight="false" outlineLevel="0" collapsed="false">
      <c r="A158" s="29"/>
      <c r="B158" s="30"/>
      <c r="C158" s="30"/>
      <c r="D158" s="30"/>
      <c r="E158" s="30"/>
      <c r="F158" s="28" t="str">
        <f aca="false">IF($E158="","",IF(AND(ISNUMBER(FIND("@",$E158)),ISNUMBER(FIND(".",$E158,FIND("@",$E158)))),"ok","revisar"))</f>
        <v/>
      </c>
      <c r="G158" s="30"/>
      <c r="H158" s="30"/>
      <c r="I158" s="31"/>
      <c r="J158" s="30"/>
      <c r="K158" s="29"/>
      <c r="L158" s="30"/>
      <c r="M158" s="30"/>
    </row>
    <row r="159" customFormat="false" ht="15" hidden="false" customHeight="false" outlineLevel="0" collapsed="false">
      <c r="A159" s="29"/>
      <c r="B159" s="30"/>
      <c r="C159" s="30"/>
      <c r="D159" s="30"/>
      <c r="E159" s="30"/>
      <c r="F159" s="28" t="str">
        <f aca="false">IF($E159="","",IF(AND(ISNUMBER(FIND("@",$E159)),ISNUMBER(FIND(".",$E159,FIND("@",$E159)))),"ok","revisar"))</f>
        <v/>
      </c>
      <c r="G159" s="30"/>
      <c r="H159" s="30"/>
      <c r="I159" s="31"/>
      <c r="J159" s="30"/>
      <c r="K159" s="29"/>
      <c r="L159" s="30"/>
      <c r="M159" s="30"/>
    </row>
    <row r="160" customFormat="false" ht="15" hidden="false" customHeight="false" outlineLevel="0" collapsed="false">
      <c r="A160" s="29"/>
      <c r="B160" s="30"/>
      <c r="C160" s="30"/>
      <c r="D160" s="30"/>
      <c r="E160" s="30"/>
      <c r="F160" s="28" t="str">
        <f aca="false">IF($E160="","",IF(AND(ISNUMBER(FIND("@",$E160)),ISNUMBER(FIND(".",$E160,FIND("@",$E160)))),"ok","revisar"))</f>
        <v/>
      </c>
      <c r="G160" s="30"/>
      <c r="H160" s="30"/>
      <c r="I160" s="31"/>
      <c r="J160" s="30"/>
      <c r="K160" s="29"/>
      <c r="L160" s="30"/>
      <c r="M160" s="30"/>
    </row>
    <row r="161" customFormat="false" ht="15" hidden="false" customHeight="false" outlineLevel="0" collapsed="false">
      <c r="A161" s="29"/>
      <c r="B161" s="30"/>
      <c r="C161" s="30"/>
      <c r="D161" s="30"/>
      <c r="E161" s="30"/>
      <c r="F161" s="28" t="str">
        <f aca="false">IF($E161="","",IF(AND(ISNUMBER(FIND("@",$E161)),ISNUMBER(FIND(".",$E161,FIND("@",$E161)))),"ok","revisar"))</f>
        <v/>
      </c>
      <c r="G161" s="30"/>
      <c r="H161" s="30"/>
      <c r="I161" s="31"/>
      <c r="J161" s="30"/>
      <c r="K161" s="29"/>
      <c r="L161" s="30"/>
      <c r="M161" s="30"/>
    </row>
    <row r="162" customFormat="false" ht="15" hidden="false" customHeight="false" outlineLevel="0" collapsed="false">
      <c r="A162" s="29"/>
      <c r="B162" s="30"/>
      <c r="C162" s="30"/>
      <c r="D162" s="30"/>
      <c r="E162" s="30"/>
      <c r="F162" s="28" t="str">
        <f aca="false">IF($E162="","",IF(AND(ISNUMBER(FIND("@",$E162)),ISNUMBER(FIND(".",$E162,FIND("@",$E162)))),"ok","revisar"))</f>
        <v/>
      </c>
      <c r="G162" s="30"/>
      <c r="H162" s="30"/>
      <c r="I162" s="31"/>
      <c r="J162" s="30"/>
      <c r="K162" s="29"/>
      <c r="L162" s="30"/>
      <c r="M162" s="30"/>
    </row>
    <row r="163" customFormat="false" ht="15" hidden="false" customHeight="false" outlineLevel="0" collapsed="false">
      <c r="A163" s="29"/>
      <c r="B163" s="30"/>
      <c r="C163" s="30"/>
      <c r="D163" s="30"/>
      <c r="E163" s="30"/>
      <c r="F163" s="28" t="str">
        <f aca="false">IF($E163="","",IF(AND(ISNUMBER(FIND("@",$E163)),ISNUMBER(FIND(".",$E163,FIND("@",$E163)))),"ok","revisar"))</f>
        <v/>
      </c>
      <c r="G163" s="30"/>
      <c r="H163" s="30"/>
      <c r="I163" s="31"/>
      <c r="J163" s="30"/>
      <c r="K163" s="29"/>
      <c r="L163" s="30"/>
      <c r="M163" s="30"/>
    </row>
    <row r="164" customFormat="false" ht="15" hidden="false" customHeight="false" outlineLevel="0" collapsed="false">
      <c r="A164" s="29"/>
      <c r="B164" s="30"/>
      <c r="C164" s="30"/>
      <c r="D164" s="30"/>
      <c r="E164" s="30"/>
      <c r="F164" s="28" t="str">
        <f aca="false">IF($E164="","",IF(AND(ISNUMBER(FIND("@",$E164)),ISNUMBER(FIND(".",$E164,FIND("@",$E164)))),"ok","revisar"))</f>
        <v/>
      </c>
      <c r="G164" s="30"/>
      <c r="H164" s="30"/>
      <c r="I164" s="31"/>
      <c r="J164" s="30"/>
      <c r="K164" s="29"/>
      <c r="L164" s="30"/>
      <c r="M164" s="30"/>
    </row>
    <row r="165" customFormat="false" ht="15" hidden="false" customHeight="false" outlineLevel="0" collapsed="false">
      <c r="A165" s="29"/>
      <c r="B165" s="30"/>
      <c r="C165" s="30"/>
      <c r="D165" s="30"/>
      <c r="E165" s="30"/>
      <c r="F165" s="28" t="str">
        <f aca="false">IF($E165="","",IF(AND(ISNUMBER(FIND("@",$E165)),ISNUMBER(FIND(".",$E165,FIND("@",$E165)))),"ok","revisar"))</f>
        <v/>
      </c>
      <c r="G165" s="30"/>
      <c r="H165" s="30"/>
      <c r="I165" s="31"/>
      <c r="J165" s="30"/>
      <c r="K165" s="29"/>
      <c r="L165" s="30"/>
      <c r="M165" s="30"/>
    </row>
    <row r="166" customFormat="false" ht="15" hidden="false" customHeight="false" outlineLevel="0" collapsed="false">
      <c r="A166" s="29"/>
      <c r="B166" s="30"/>
      <c r="C166" s="30"/>
      <c r="D166" s="30"/>
      <c r="E166" s="30"/>
      <c r="F166" s="28" t="str">
        <f aca="false">IF($E166="","",IF(AND(ISNUMBER(FIND("@",$E166)),ISNUMBER(FIND(".",$E166,FIND("@",$E166)))),"ok","revisar"))</f>
        <v/>
      </c>
      <c r="G166" s="30"/>
      <c r="H166" s="30"/>
      <c r="I166" s="31"/>
      <c r="J166" s="30"/>
      <c r="K166" s="29"/>
      <c r="L166" s="30"/>
      <c r="M166" s="30"/>
    </row>
    <row r="167" customFormat="false" ht="15" hidden="false" customHeight="false" outlineLevel="0" collapsed="false">
      <c r="A167" s="29"/>
      <c r="B167" s="30"/>
      <c r="C167" s="30"/>
      <c r="D167" s="30"/>
      <c r="E167" s="30"/>
      <c r="F167" s="28" t="str">
        <f aca="false">IF($E167="","",IF(AND(ISNUMBER(FIND("@",$E167)),ISNUMBER(FIND(".",$E167,FIND("@",$E167)))),"ok","revisar"))</f>
        <v/>
      </c>
      <c r="G167" s="30"/>
      <c r="H167" s="30"/>
      <c r="I167" s="31"/>
      <c r="J167" s="30"/>
      <c r="K167" s="29"/>
      <c r="L167" s="30"/>
      <c r="M167" s="30"/>
    </row>
    <row r="168" customFormat="false" ht="15" hidden="false" customHeight="false" outlineLevel="0" collapsed="false">
      <c r="A168" s="29"/>
      <c r="B168" s="30"/>
      <c r="C168" s="30"/>
      <c r="D168" s="30"/>
      <c r="E168" s="30"/>
      <c r="F168" s="28" t="str">
        <f aca="false">IF($E168="","",IF(AND(ISNUMBER(FIND("@",$E168)),ISNUMBER(FIND(".",$E168,FIND("@",$E168)))),"ok","revisar"))</f>
        <v/>
      </c>
      <c r="G168" s="30"/>
      <c r="H168" s="30"/>
      <c r="I168" s="31"/>
      <c r="J168" s="30"/>
      <c r="K168" s="29"/>
      <c r="L168" s="30"/>
      <c r="M168" s="30"/>
    </row>
    <row r="169" customFormat="false" ht="15" hidden="false" customHeight="false" outlineLevel="0" collapsed="false">
      <c r="A169" s="29"/>
      <c r="B169" s="30"/>
      <c r="C169" s="30"/>
      <c r="D169" s="30"/>
      <c r="E169" s="30"/>
      <c r="F169" s="28" t="str">
        <f aca="false">IF($E169="","",IF(AND(ISNUMBER(FIND("@",$E169)),ISNUMBER(FIND(".",$E169,FIND("@",$E169)))),"ok","revisar"))</f>
        <v/>
      </c>
      <c r="G169" s="30"/>
      <c r="H169" s="30"/>
      <c r="I169" s="31"/>
      <c r="J169" s="30"/>
      <c r="K169" s="29"/>
      <c r="L169" s="30"/>
      <c r="M169" s="30"/>
    </row>
    <row r="170" customFormat="false" ht="15" hidden="false" customHeight="false" outlineLevel="0" collapsed="false">
      <c r="A170" s="29"/>
      <c r="B170" s="30"/>
      <c r="C170" s="30"/>
      <c r="D170" s="30"/>
      <c r="E170" s="30"/>
      <c r="F170" s="28" t="str">
        <f aca="false">IF($E170="","",IF(AND(ISNUMBER(FIND("@",$E170)),ISNUMBER(FIND(".",$E170,FIND("@",$E170)))),"ok","revisar"))</f>
        <v/>
      </c>
      <c r="G170" s="30"/>
      <c r="H170" s="30"/>
      <c r="I170" s="31"/>
      <c r="J170" s="30"/>
      <c r="K170" s="29"/>
      <c r="L170" s="30"/>
      <c r="M170" s="30"/>
    </row>
    <row r="171" customFormat="false" ht="15" hidden="false" customHeight="false" outlineLevel="0" collapsed="false">
      <c r="A171" s="29"/>
      <c r="B171" s="30"/>
      <c r="C171" s="30"/>
      <c r="D171" s="30"/>
      <c r="E171" s="30"/>
      <c r="F171" s="28" t="str">
        <f aca="false">IF($E171="","",IF(AND(ISNUMBER(FIND("@",$E171)),ISNUMBER(FIND(".",$E171,FIND("@",$E171)))),"ok","revisar"))</f>
        <v/>
      </c>
      <c r="G171" s="30"/>
      <c r="H171" s="30"/>
      <c r="I171" s="31"/>
      <c r="J171" s="30"/>
      <c r="K171" s="29"/>
      <c r="L171" s="30"/>
      <c r="M171" s="30"/>
    </row>
    <row r="172" customFormat="false" ht="15" hidden="false" customHeight="false" outlineLevel="0" collapsed="false">
      <c r="A172" s="29"/>
      <c r="B172" s="30"/>
      <c r="C172" s="30"/>
      <c r="D172" s="30"/>
      <c r="E172" s="30"/>
      <c r="F172" s="28" t="str">
        <f aca="false">IF($E172="","",IF(AND(ISNUMBER(FIND("@",$E172)),ISNUMBER(FIND(".",$E172,FIND("@",$E172)))),"ok","revisar"))</f>
        <v/>
      </c>
      <c r="G172" s="30"/>
      <c r="H172" s="30"/>
      <c r="I172" s="31"/>
      <c r="J172" s="30"/>
      <c r="K172" s="29"/>
      <c r="L172" s="30"/>
      <c r="M172" s="30"/>
    </row>
    <row r="173" customFormat="false" ht="15" hidden="false" customHeight="false" outlineLevel="0" collapsed="false">
      <c r="A173" s="29"/>
      <c r="B173" s="30"/>
      <c r="C173" s="30"/>
      <c r="D173" s="30"/>
      <c r="E173" s="30"/>
      <c r="F173" s="28" t="str">
        <f aca="false">IF($E173="","",IF(AND(ISNUMBER(FIND("@",$E173)),ISNUMBER(FIND(".",$E173,FIND("@",$E173)))),"ok","revisar"))</f>
        <v/>
      </c>
      <c r="G173" s="30"/>
      <c r="H173" s="30"/>
      <c r="I173" s="31"/>
      <c r="J173" s="30"/>
      <c r="K173" s="29"/>
      <c r="L173" s="30"/>
      <c r="M173" s="30"/>
    </row>
    <row r="174" customFormat="false" ht="15" hidden="false" customHeight="false" outlineLevel="0" collapsed="false">
      <c r="A174" s="29"/>
      <c r="B174" s="30"/>
      <c r="C174" s="30"/>
      <c r="D174" s="30"/>
      <c r="E174" s="30"/>
      <c r="F174" s="28" t="str">
        <f aca="false">IF($E174="","",IF(AND(ISNUMBER(FIND("@",$E174)),ISNUMBER(FIND(".",$E174,FIND("@",$E174)))),"ok","revisar"))</f>
        <v/>
      </c>
      <c r="G174" s="30"/>
      <c r="H174" s="30"/>
      <c r="I174" s="31"/>
      <c r="J174" s="30"/>
      <c r="K174" s="29"/>
      <c r="L174" s="30"/>
      <c r="M174" s="30"/>
    </row>
    <row r="175" customFormat="false" ht="15" hidden="false" customHeight="false" outlineLevel="0" collapsed="false">
      <c r="A175" s="29"/>
      <c r="B175" s="30"/>
      <c r="C175" s="30"/>
      <c r="D175" s="30"/>
      <c r="E175" s="30"/>
      <c r="F175" s="28" t="str">
        <f aca="false">IF($E175="","",IF(AND(ISNUMBER(FIND("@",$E175)),ISNUMBER(FIND(".",$E175,FIND("@",$E175)))),"ok","revisar"))</f>
        <v/>
      </c>
      <c r="G175" s="30"/>
      <c r="H175" s="30"/>
      <c r="I175" s="31"/>
      <c r="J175" s="30"/>
      <c r="K175" s="29"/>
      <c r="L175" s="30"/>
      <c r="M175" s="30"/>
    </row>
    <row r="176" customFormat="false" ht="15" hidden="false" customHeight="false" outlineLevel="0" collapsed="false">
      <c r="A176" s="29"/>
      <c r="B176" s="30"/>
      <c r="C176" s="30"/>
      <c r="D176" s="30"/>
      <c r="E176" s="30"/>
      <c r="F176" s="28" t="str">
        <f aca="false">IF($E176="","",IF(AND(ISNUMBER(FIND("@",$E176)),ISNUMBER(FIND(".",$E176,FIND("@",$E176)))),"ok","revisar"))</f>
        <v/>
      </c>
      <c r="G176" s="30"/>
      <c r="H176" s="30"/>
      <c r="I176" s="31"/>
      <c r="J176" s="30"/>
      <c r="K176" s="29"/>
      <c r="L176" s="30"/>
      <c r="M176" s="30"/>
    </row>
    <row r="177" customFormat="false" ht="15" hidden="false" customHeight="false" outlineLevel="0" collapsed="false">
      <c r="A177" s="29"/>
      <c r="B177" s="30"/>
      <c r="C177" s="30"/>
      <c r="D177" s="30"/>
      <c r="E177" s="30"/>
      <c r="F177" s="28" t="str">
        <f aca="false">IF($E177="","",IF(AND(ISNUMBER(FIND("@",$E177)),ISNUMBER(FIND(".",$E177,FIND("@",$E177)))),"ok","revisar"))</f>
        <v/>
      </c>
      <c r="G177" s="30"/>
      <c r="H177" s="30"/>
      <c r="I177" s="31"/>
      <c r="J177" s="30"/>
      <c r="K177" s="29"/>
      <c r="L177" s="30"/>
      <c r="M177" s="30"/>
    </row>
    <row r="178" customFormat="false" ht="15" hidden="false" customHeight="false" outlineLevel="0" collapsed="false">
      <c r="A178" s="29"/>
      <c r="B178" s="30"/>
      <c r="C178" s="30"/>
      <c r="D178" s="30"/>
      <c r="E178" s="30"/>
      <c r="F178" s="28" t="str">
        <f aca="false">IF($E178="","",IF(AND(ISNUMBER(FIND("@",$E178)),ISNUMBER(FIND(".",$E178,FIND("@",$E178)))),"ok","revisar"))</f>
        <v/>
      </c>
      <c r="G178" s="30"/>
      <c r="H178" s="30"/>
      <c r="I178" s="31"/>
      <c r="J178" s="30"/>
      <c r="K178" s="29"/>
      <c r="L178" s="30"/>
      <c r="M178" s="30"/>
    </row>
    <row r="179" customFormat="false" ht="15" hidden="false" customHeight="false" outlineLevel="0" collapsed="false">
      <c r="A179" s="29"/>
      <c r="B179" s="30"/>
      <c r="C179" s="30"/>
      <c r="D179" s="30"/>
      <c r="E179" s="30"/>
      <c r="F179" s="28" t="str">
        <f aca="false">IF($E179="","",IF(AND(ISNUMBER(FIND("@",$E179)),ISNUMBER(FIND(".",$E179,FIND("@",$E179)))),"ok","revisar"))</f>
        <v/>
      </c>
      <c r="G179" s="30"/>
      <c r="H179" s="30"/>
      <c r="I179" s="31"/>
      <c r="J179" s="30"/>
      <c r="K179" s="29"/>
      <c r="L179" s="30"/>
      <c r="M179" s="30"/>
    </row>
    <row r="180" customFormat="false" ht="15" hidden="false" customHeight="false" outlineLevel="0" collapsed="false">
      <c r="A180" s="29"/>
      <c r="B180" s="30"/>
      <c r="C180" s="30"/>
      <c r="D180" s="30"/>
      <c r="E180" s="30"/>
      <c r="F180" s="28" t="str">
        <f aca="false">IF($E180="","",IF(AND(ISNUMBER(FIND("@",$E180)),ISNUMBER(FIND(".",$E180,FIND("@",$E180)))),"ok","revisar"))</f>
        <v/>
      </c>
      <c r="G180" s="30"/>
      <c r="H180" s="30"/>
      <c r="I180" s="31"/>
      <c r="J180" s="30"/>
      <c r="K180" s="29"/>
      <c r="L180" s="30"/>
      <c r="M180" s="30"/>
    </row>
    <row r="181" customFormat="false" ht="15" hidden="false" customHeight="false" outlineLevel="0" collapsed="false">
      <c r="A181" s="29"/>
      <c r="B181" s="30"/>
      <c r="C181" s="30"/>
      <c r="D181" s="30"/>
      <c r="E181" s="30"/>
      <c r="F181" s="28" t="str">
        <f aca="false">IF($E181="","",IF(AND(ISNUMBER(FIND("@",$E181)),ISNUMBER(FIND(".",$E181,FIND("@",$E181)))),"ok","revisar"))</f>
        <v/>
      </c>
      <c r="G181" s="30"/>
      <c r="H181" s="30"/>
      <c r="I181" s="31"/>
      <c r="J181" s="30"/>
      <c r="K181" s="29"/>
      <c r="L181" s="30"/>
      <c r="M181" s="30"/>
    </row>
    <row r="182" customFormat="false" ht="15" hidden="false" customHeight="false" outlineLevel="0" collapsed="false">
      <c r="A182" s="29"/>
      <c r="B182" s="30"/>
      <c r="C182" s="30"/>
      <c r="D182" s="30"/>
      <c r="E182" s="30"/>
      <c r="F182" s="28" t="str">
        <f aca="false">IF($E182="","",IF(AND(ISNUMBER(FIND("@",$E182)),ISNUMBER(FIND(".",$E182,FIND("@",$E182)))),"ok","revisar"))</f>
        <v/>
      </c>
      <c r="G182" s="30"/>
      <c r="H182" s="30"/>
      <c r="I182" s="31"/>
      <c r="J182" s="30"/>
      <c r="K182" s="29"/>
      <c r="L182" s="30"/>
      <c r="M182" s="30"/>
    </row>
    <row r="183" customFormat="false" ht="15" hidden="false" customHeight="false" outlineLevel="0" collapsed="false">
      <c r="A183" s="29"/>
      <c r="B183" s="30"/>
      <c r="C183" s="30"/>
      <c r="D183" s="30"/>
      <c r="E183" s="30"/>
      <c r="F183" s="28" t="str">
        <f aca="false">IF($E183="","",IF(AND(ISNUMBER(FIND("@",$E183)),ISNUMBER(FIND(".",$E183,FIND("@",$E183)))),"ok","revisar"))</f>
        <v/>
      </c>
      <c r="G183" s="30"/>
      <c r="H183" s="30"/>
      <c r="I183" s="31"/>
      <c r="J183" s="30"/>
      <c r="K183" s="29"/>
      <c r="L183" s="30"/>
      <c r="M183" s="30"/>
    </row>
    <row r="184" customFormat="false" ht="15" hidden="false" customHeight="false" outlineLevel="0" collapsed="false">
      <c r="A184" s="29"/>
      <c r="B184" s="30"/>
      <c r="C184" s="30"/>
      <c r="D184" s="30"/>
      <c r="E184" s="30"/>
      <c r="F184" s="28" t="str">
        <f aca="false">IF($E184="","",IF(AND(ISNUMBER(FIND("@",$E184)),ISNUMBER(FIND(".",$E184,FIND("@",$E184)))),"ok","revisar"))</f>
        <v/>
      </c>
      <c r="G184" s="30"/>
      <c r="H184" s="30"/>
      <c r="I184" s="31"/>
      <c r="J184" s="30"/>
      <c r="K184" s="29"/>
      <c r="L184" s="30"/>
      <c r="M184" s="30"/>
    </row>
    <row r="185" customFormat="false" ht="15" hidden="false" customHeight="false" outlineLevel="0" collapsed="false">
      <c r="A185" s="29"/>
      <c r="B185" s="30"/>
      <c r="C185" s="30"/>
      <c r="D185" s="30"/>
      <c r="E185" s="30"/>
      <c r="F185" s="28" t="str">
        <f aca="false">IF($E185="","",IF(AND(ISNUMBER(FIND("@",$E185)),ISNUMBER(FIND(".",$E185,FIND("@",$E185)))),"ok","revisar"))</f>
        <v/>
      </c>
      <c r="G185" s="30"/>
      <c r="H185" s="30"/>
      <c r="I185" s="31"/>
      <c r="J185" s="30"/>
      <c r="K185" s="29"/>
      <c r="L185" s="30"/>
      <c r="M185" s="30"/>
    </row>
    <row r="186" customFormat="false" ht="15" hidden="false" customHeight="false" outlineLevel="0" collapsed="false">
      <c r="A186" s="29"/>
      <c r="B186" s="30"/>
      <c r="C186" s="30"/>
      <c r="D186" s="30"/>
      <c r="E186" s="30"/>
      <c r="F186" s="28" t="str">
        <f aca="false">IF($E186="","",IF(AND(ISNUMBER(FIND("@",$E186)),ISNUMBER(FIND(".",$E186,FIND("@",$E186)))),"ok","revisar"))</f>
        <v/>
      </c>
      <c r="G186" s="30"/>
      <c r="H186" s="30"/>
      <c r="I186" s="31"/>
      <c r="J186" s="30"/>
      <c r="K186" s="29"/>
      <c r="L186" s="30"/>
      <c r="M186" s="30"/>
    </row>
    <row r="187" customFormat="false" ht="15" hidden="false" customHeight="false" outlineLevel="0" collapsed="false">
      <c r="A187" s="29"/>
      <c r="B187" s="30"/>
      <c r="C187" s="30"/>
      <c r="D187" s="30"/>
      <c r="E187" s="30"/>
      <c r="F187" s="28" t="str">
        <f aca="false">IF($E187="","",IF(AND(ISNUMBER(FIND("@",$E187)),ISNUMBER(FIND(".",$E187,FIND("@",$E187)))),"ok","revisar"))</f>
        <v/>
      </c>
      <c r="G187" s="30"/>
      <c r="H187" s="30"/>
      <c r="I187" s="31"/>
      <c r="J187" s="30"/>
      <c r="K187" s="29"/>
      <c r="L187" s="30"/>
      <c r="M187" s="30"/>
    </row>
    <row r="188" customFormat="false" ht="15" hidden="false" customHeight="false" outlineLevel="0" collapsed="false">
      <c r="A188" s="29"/>
      <c r="B188" s="30"/>
      <c r="C188" s="30"/>
      <c r="D188" s="30"/>
      <c r="E188" s="30"/>
      <c r="F188" s="28" t="str">
        <f aca="false">IF($E188="","",IF(AND(ISNUMBER(FIND("@",$E188)),ISNUMBER(FIND(".",$E188,FIND("@",$E188)))),"ok","revisar"))</f>
        <v/>
      </c>
      <c r="G188" s="30"/>
      <c r="H188" s="30"/>
      <c r="I188" s="31"/>
      <c r="J188" s="30"/>
      <c r="K188" s="29"/>
      <c r="L188" s="30"/>
      <c r="M188" s="30"/>
    </row>
    <row r="189" customFormat="false" ht="15" hidden="false" customHeight="false" outlineLevel="0" collapsed="false">
      <c r="A189" s="29"/>
      <c r="B189" s="30"/>
      <c r="C189" s="30"/>
      <c r="D189" s="30"/>
      <c r="E189" s="30"/>
      <c r="F189" s="28" t="str">
        <f aca="false">IF($E189="","",IF(AND(ISNUMBER(FIND("@",$E189)),ISNUMBER(FIND(".",$E189,FIND("@",$E189)))),"ok","revisar"))</f>
        <v/>
      </c>
      <c r="G189" s="30"/>
      <c r="H189" s="30"/>
      <c r="I189" s="31"/>
      <c r="J189" s="30"/>
      <c r="K189" s="29"/>
      <c r="L189" s="30"/>
      <c r="M189" s="30"/>
    </row>
    <row r="190" customFormat="false" ht="15" hidden="false" customHeight="false" outlineLevel="0" collapsed="false">
      <c r="A190" s="29"/>
      <c r="B190" s="30"/>
      <c r="C190" s="30"/>
      <c r="D190" s="30"/>
      <c r="E190" s="30"/>
      <c r="F190" s="28" t="str">
        <f aca="false">IF($E190="","",IF(AND(ISNUMBER(FIND("@",$E190)),ISNUMBER(FIND(".",$E190,FIND("@",$E190)))),"ok","revisar"))</f>
        <v/>
      </c>
      <c r="G190" s="30"/>
      <c r="H190" s="30"/>
      <c r="I190" s="31"/>
      <c r="J190" s="30"/>
      <c r="K190" s="29"/>
      <c r="L190" s="30"/>
      <c r="M190" s="30"/>
    </row>
    <row r="191" customFormat="false" ht="15" hidden="false" customHeight="false" outlineLevel="0" collapsed="false">
      <c r="A191" s="29"/>
      <c r="B191" s="30"/>
      <c r="C191" s="30"/>
      <c r="D191" s="30"/>
      <c r="E191" s="30"/>
      <c r="F191" s="28" t="str">
        <f aca="false">IF($E191="","",IF(AND(ISNUMBER(FIND("@",$E191)),ISNUMBER(FIND(".",$E191,FIND("@",$E191)))),"ok","revisar"))</f>
        <v/>
      </c>
      <c r="G191" s="30"/>
      <c r="H191" s="30"/>
      <c r="I191" s="31"/>
      <c r="J191" s="30"/>
      <c r="K191" s="29"/>
      <c r="L191" s="30"/>
      <c r="M191" s="30"/>
    </row>
    <row r="192" customFormat="false" ht="15" hidden="false" customHeight="false" outlineLevel="0" collapsed="false">
      <c r="A192" s="29"/>
      <c r="B192" s="30"/>
      <c r="C192" s="30"/>
      <c r="D192" s="30"/>
      <c r="E192" s="30"/>
      <c r="F192" s="28" t="str">
        <f aca="false">IF($E192="","",IF(AND(ISNUMBER(FIND("@",$E192)),ISNUMBER(FIND(".",$E192,FIND("@",$E192)))),"ok","revisar"))</f>
        <v/>
      </c>
      <c r="G192" s="30"/>
      <c r="H192" s="30"/>
      <c r="I192" s="31"/>
      <c r="J192" s="30"/>
      <c r="K192" s="29"/>
      <c r="L192" s="30"/>
      <c r="M192" s="30"/>
    </row>
    <row r="193" customFormat="false" ht="15" hidden="false" customHeight="false" outlineLevel="0" collapsed="false">
      <c r="A193" s="29"/>
      <c r="B193" s="30"/>
      <c r="C193" s="30"/>
      <c r="D193" s="30"/>
      <c r="E193" s="30"/>
      <c r="F193" s="28" t="str">
        <f aca="false">IF($E193="","",IF(AND(ISNUMBER(FIND("@",$E193)),ISNUMBER(FIND(".",$E193,FIND("@",$E193)))),"ok","revisar"))</f>
        <v/>
      </c>
      <c r="G193" s="30"/>
      <c r="H193" s="30"/>
      <c r="I193" s="31"/>
      <c r="J193" s="30"/>
      <c r="K193" s="29"/>
      <c r="L193" s="30"/>
      <c r="M193" s="30"/>
    </row>
    <row r="194" customFormat="false" ht="15" hidden="false" customHeight="false" outlineLevel="0" collapsed="false">
      <c r="A194" s="29"/>
      <c r="B194" s="30"/>
      <c r="C194" s="30"/>
      <c r="D194" s="30"/>
      <c r="E194" s="30"/>
      <c r="F194" s="28" t="str">
        <f aca="false">IF($E194="","",IF(AND(ISNUMBER(FIND("@",$E194)),ISNUMBER(FIND(".",$E194,FIND("@",$E194)))),"ok","revisar"))</f>
        <v/>
      </c>
      <c r="G194" s="30"/>
      <c r="H194" s="30"/>
      <c r="I194" s="31"/>
      <c r="J194" s="30"/>
      <c r="K194" s="29"/>
      <c r="L194" s="30"/>
      <c r="M194" s="30"/>
    </row>
    <row r="195" customFormat="false" ht="15" hidden="false" customHeight="false" outlineLevel="0" collapsed="false">
      <c r="A195" s="29"/>
      <c r="B195" s="30"/>
      <c r="C195" s="30"/>
      <c r="D195" s="30"/>
      <c r="E195" s="30"/>
      <c r="F195" s="28" t="str">
        <f aca="false">IF($E195="","",IF(AND(ISNUMBER(FIND("@",$E195)),ISNUMBER(FIND(".",$E195,FIND("@",$E195)))),"ok","revisar"))</f>
        <v/>
      </c>
      <c r="G195" s="30"/>
      <c r="H195" s="30"/>
      <c r="I195" s="31"/>
      <c r="J195" s="30"/>
      <c r="K195" s="29"/>
      <c r="L195" s="30"/>
      <c r="M195" s="30"/>
    </row>
    <row r="196" customFormat="false" ht="15" hidden="false" customHeight="false" outlineLevel="0" collapsed="false">
      <c r="A196" s="29"/>
      <c r="B196" s="30"/>
      <c r="C196" s="30"/>
      <c r="D196" s="30"/>
      <c r="E196" s="30"/>
      <c r="F196" s="28" t="str">
        <f aca="false">IF($E196="","",IF(AND(ISNUMBER(FIND("@",$E196)),ISNUMBER(FIND(".",$E196,FIND("@",$E196)))),"ok","revisar"))</f>
        <v/>
      </c>
      <c r="G196" s="30"/>
      <c r="H196" s="30"/>
      <c r="I196" s="31"/>
      <c r="J196" s="30"/>
      <c r="K196" s="29"/>
      <c r="L196" s="30"/>
      <c r="M196" s="30"/>
    </row>
    <row r="197" customFormat="false" ht="15" hidden="false" customHeight="false" outlineLevel="0" collapsed="false">
      <c r="A197" s="29"/>
      <c r="B197" s="30"/>
      <c r="C197" s="30"/>
      <c r="D197" s="30"/>
      <c r="E197" s="30"/>
      <c r="F197" s="28" t="str">
        <f aca="false">IF($E197="","",IF(AND(ISNUMBER(FIND("@",$E197)),ISNUMBER(FIND(".",$E197,FIND("@",$E197)))),"ok","revisar"))</f>
        <v/>
      </c>
      <c r="G197" s="30"/>
      <c r="H197" s="30"/>
      <c r="I197" s="31"/>
      <c r="J197" s="30"/>
      <c r="K197" s="29"/>
      <c r="L197" s="30"/>
      <c r="M197" s="30"/>
    </row>
    <row r="198" customFormat="false" ht="15" hidden="false" customHeight="false" outlineLevel="0" collapsed="false">
      <c r="A198" s="29"/>
      <c r="B198" s="30"/>
      <c r="C198" s="30"/>
      <c r="D198" s="30"/>
      <c r="E198" s="30"/>
      <c r="F198" s="28" t="str">
        <f aca="false">IF($E198="","",IF(AND(ISNUMBER(FIND("@",$E198)),ISNUMBER(FIND(".",$E198,FIND("@",$E198)))),"ok","revisar"))</f>
        <v/>
      </c>
      <c r="G198" s="30"/>
      <c r="H198" s="30"/>
      <c r="I198" s="31"/>
      <c r="J198" s="30"/>
      <c r="K198" s="29"/>
      <c r="L198" s="30"/>
      <c r="M198" s="30"/>
    </row>
    <row r="199" customFormat="false" ht="15" hidden="false" customHeight="false" outlineLevel="0" collapsed="false">
      <c r="A199" s="29"/>
      <c r="B199" s="30"/>
      <c r="C199" s="30"/>
      <c r="D199" s="30"/>
      <c r="E199" s="30"/>
      <c r="F199" s="28" t="str">
        <f aca="false">IF($E199="","",IF(AND(ISNUMBER(FIND("@",$E199)),ISNUMBER(FIND(".",$E199,FIND("@",$E199)))),"ok","revisar"))</f>
        <v/>
      </c>
      <c r="G199" s="30"/>
      <c r="H199" s="30"/>
      <c r="I199" s="31"/>
      <c r="J199" s="30"/>
      <c r="K199" s="29"/>
      <c r="L199" s="30"/>
      <c r="M199" s="30"/>
    </row>
    <row r="200" customFormat="false" ht="15" hidden="false" customHeight="false" outlineLevel="0" collapsed="false">
      <c r="A200" s="29"/>
      <c r="B200" s="30"/>
      <c r="C200" s="30"/>
      <c r="D200" s="30"/>
      <c r="E200" s="30"/>
      <c r="F200" s="28" t="str">
        <f aca="false">IF($E200="","",IF(AND(ISNUMBER(FIND("@",$E200)),ISNUMBER(FIND(".",$E200,FIND("@",$E200)))),"ok","revisar"))</f>
        <v/>
      </c>
      <c r="G200" s="30"/>
      <c r="H200" s="30"/>
      <c r="I200" s="31"/>
      <c r="J200" s="30"/>
      <c r="K200" s="29"/>
      <c r="L200" s="30"/>
      <c r="M200" s="30"/>
    </row>
    <row r="201" customFormat="false" ht="15" hidden="false" customHeight="false" outlineLevel="0" collapsed="false">
      <c r="A201" s="29"/>
      <c r="B201" s="30"/>
      <c r="C201" s="30"/>
      <c r="D201" s="30"/>
      <c r="E201" s="30"/>
      <c r="F201" s="28" t="str">
        <f aca="false">IF($E201="","",IF(AND(ISNUMBER(FIND("@",$E201)),ISNUMBER(FIND(".",$E201,FIND("@",$E201)))),"ok","revisar"))</f>
        <v/>
      </c>
      <c r="G201" s="30"/>
      <c r="H201" s="30"/>
      <c r="I201" s="31"/>
      <c r="J201" s="30"/>
      <c r="K201" s="29"/>
      <c r="L201" s="30"/>
      <c r="M201" s="30"/>
    </row>
    <row r="202" customFormat="false" ht="15" hidden="false" customHeight="false" outlineLevel="0" collapsed="false">
      <c r="A202" s="29"/>
      <c r="B202" s="30"/>
      <c r="C202" s="30"/>
      <c r="D202" s="30"/>
      <c r="E202" s="30"/>
      <c r="F202" s="28" t="str">
        <f aca="false">IF($E202="","",IF(AND(ISNUMBER(FIND("@",$E202)),ISNUMBER(FIND(".",$E202,FIND("@",$E202)))),"ok","revisar"))</f>
        <v/>
      </c>
      <c r="G202" s="30"/>
      <c r="H202" s="30"/>
      <c r="I202" s="31"/>
      <c r="J202" s="30"/>
      <c r="K202" s="29"/>
      <c r="L202" s="30"/>
      <c r="M202" s="30"/>
    </row>
    <row r="203" customFormat="false" ht="15" hidden="false" customHeight="false" outlineLevel="0" collapsed="false">
      <c r="A203" s="29"/>
      <c r="B203" s="30"/>
      <c r="C203" s="30"/>
      <c r="D203" s="30"/>
      <c r="E203" s="30"/>
      <c r="F203" s="28" t="str">
        <f aca="false">IF($E203="","",IF(AND(ISNUMBER(FIND("@",$E203)),ISNUMBER(FIND(".",$E203,FIND("@",$E203)))),"ok","revisar"))</f>
        <v/>
      </c>
      <c r="G203" s="30"/>
      <c r="H203" s="30"/>
      <c r="I203" s="31"/>
      <c r="J203" s="30"/>
      <c r="K203" s="29"/>
      <c r="L203" s="30"/>
      <c r="M203" s="30"/>
    </row>
    <row r="204" customFormat="false" ht="15" hidden="false" customHeight="false" outlineLevel="0" collapsed="false">
      <c r="A204" s="29"/>
      <c r="B204" s="30"/>
      <c r="C204" s="30"/>
      <c r="D204" s="30"/>
      <c r="E204" s="30"/>
      <c r="F204" s="28" t="str">
        <f aca="false">IF($E204="","",IF(AND(ISNUMBER(FIND("@",$E204)),ISNUMBER(FIND(".",$E204,FIND("@",$E204)))),"ok","revisar"))</f>
        <v/>
      </c>
      <c r="G204" s="30"/>
      <c r="H204" s="30"/>
      <c r="I204" s="31"/>
      <c r="J204" s="30"/>
      <c r="K204" s="29"/>
      <c r="L204" s="30"/>
      <c r="M204" s="30"/>
    </row>
    <row r="205" customFormat="false" ht="15" hidden="false" customHeight="false" outlineLevel="0" collapsed="false">
      <c r="A205" s="29"/>
      <c r="B205" s="30"/>
      <c r="C205" s="30"/>
      <c r="D205" s="30"/>
      <c r="E205" s="30"/>
      <c r="F205" s="28" t="str">
        <f aca="false">IF($E205="","",IF(AND(ISNUMBER(FIND("@",$E205)),ISNUMBER(FIND(".",$E205,FIND("@",$E205)))),"ok","revisar"))</f>
        <v/>
      </c>
      <c r="G205" s="30"/>
      <c r="H205" s="30"/>
      <c r="I205" s="31"/>
      <c r="J205" s="30"/>
      <c r="K205" s="29"/>
      <c r="L205" s="30"/>
      <c r="M205" s="30"/>
    </row>
    <row r="206" customFormat="false" ht="15" hidden="false" customHeight="false" outlineLevel="0" collapsed="false">
      <c r="A206" s="29"/>
      <c r="B206" s="30"/>
      <c r="C206" s="30"/>
      <c r="D206" s="30"/>
      <c r="E206" s="30"/>
      <c r="F206" s="28" t="str">
        <f aca="false">IF($E206="","",IF(AND(ISNUMBER(FIND("@",$E206)),ISNUMBER(FIND(".",$E206,FIND("@",$E206)))),"ok","revisar"))</f>
        <v/>
      </c>
      <c r="G206" s="30"/>
      <c r="H206" s="30"/>
      <c r="I206" s="31"/>
      <c r="J206" s="30"/>
      <c r="K206" s="29"/>
      <c r="L206" s="30"/>
      <c r="M206" s="30"/>
    </row>
    <row r="207" customFormat="false" ht="15" hidden="false" customHeight="false" outlineLevel="0" collapsed="false">
      <c r="A207" s="29"/>
      <c r="B207" s="30"/>
      <c r="C207" s="30"/>
      <c r="D207" s="30"/>
      <c r="E207" s="30"/>
      <c r="F207" s="28" t="str">
        <f aca="false">IF($E207="","",IF(AND(ISNUMBER(FIND("@",$E207)),ISNUMBER(FIND(".",$E207,FIND("@",$E207)))),"ok","revisar"))</f>
        <v/>
      </c>
      <c r="G207" s="30"/>
      <c r="H207" s="30"/>
      <c r="I207" s="31"/>
      <c r="J207" s="30"/>
      <c r="K207" s="29"/>
      <c r="L207" s="30"/>
      <c r="M207" s="30"/>
    </row>
    <row r="208" customFormat="false" ht="15" hidden="false" customHeight="false" outlineLevel="0" collapsed="false">
      <c r="A208" s="29"/>
      <c r="B208" s="30"/>
      <c r="C208" s="30"/>
      <c r="D208" s="30"/>
      <c r="E208" s="30"/>
      <c r="F208" s="28" t="str">
        <f aca="false">IF($E208="","",IF(AND(ISNUMBER(FIND("@",$E208)),ISNUMBER(FIND(".",$E208,FIND("@",$E208)))),"ok","revisar"))</f>
        <v/>
      </c>
      <c r="G208" s="30"/>
      <c r="H208" s="30"/>
      <c r="I208" s="31"/>
      <c r="J208" s="30"/>
      <c r="K208" s="29"/>
      <c r="L208" s="30"/>
      <c r="M208" s="30"/>
    </row>
    <row r="209" customFormat="false" ht="15" hidden="false" customHeight="false" outlineLevel="0" collapsed="false">
      <c r="A209" s="29"/>
      <c r="B209" s="30"/>
      <c r="C209" s="30"/>
      <c r="D209" s="30"/>
      <c r="E209" s="30"/>
      <c r="F209" s="28" t="str">
        <f aca="false">IF($E209="","",IF(AND(ISNUMBER(FIND("@",$E209)),ISNUMBER(FIND(".",$E209,FIND("@",$E209)))),"ok","revisar"))</f>
        <v/>
      </c>
      <c r="G209" s="30"/>
      <c r="H209" s="30"/>
      <c r="I209" s="31"/>
      <c r="J209" s="30"/>
      <c r="K209" s="29"/>
      <c r="L209" s="30"/>
      <c r="M209" s="30"/>
    </row>
    <row r="210" customFormat="false" ht="15" hidden="false" customHeight="false" outlineLevel="0" collapsed="false">
      <c r="A210" s="29"/>
      <c r="B210" s="30"/>
      <c r="C210" s="30"/>
      <c r="D210" s="30"/>
      <c r="E210" s="30"/>
      <c r="F210" s="28" t="str">
        <f aca="false">IF($E210="","",IF(AND(ISNUMBER(FIND("@",$E210)),ISNUMBER(FIND(".",$E210,FIND("@",$E210)))),"ok","revisar"))</f>
        <v/>
      </c>
      <c r="G210" s="30"/>
      <c r="H210" s="30"/>
      <c r="I210" s="31"/>
      <c r="J210" s="30"/>
      <c r="K210" s="29"/>
      <c r="L210" s="30"/>
      <c r="M210" s="30"/>
    </row>
    <row r="211" customFormat="false" ht="15" hidden="false" customHeight="false" outlineLevel="0" collapsed="false">
      <c r="A211" s="29"/>
      <c r="B211" s="30"/>
      <c r="C211" s="30"/>
      <c r="D211" s="30"/>
      <c r="E211" s="30"/>
      <c r="F211" s="28" t="str">
        <f aca="false">IF($E211="","",IF(AND(ISNUMBER(FIND("@",$E211)),ISNUMBER(FIND(".",$E211,FIND("@",$E211)))),"ok","revisar"))</f>
        <v/>
      </c>
      <c r="G211" s="30"/>
      <c r="H211" s="30"/>
      <c r="I211" s="31"/>
      <c r="J211" s="30"/>
      <c r="K211" s="29"/>
      <c r="L211" s="30"/>
      <c r="M211" s="30"/>
    </row>
    <row r="212" customFormat="false" ht="15" hidden="false" customHeight="false" outlineLevel="0" collapsed="false">
      <c r="A212" s="29"/>
      <c r="B212" s="30"/>
      <c r="C212" s="30"/>
      <c r="D212" s="30"/>
      <c r="E212" s="30"/>
      <c r="F212" s="28" t="str">
        <f aca="false">IF($E212="","",IF(AND(ISNUMBER(FIND("@",$E212)),ISNUMBER(FIND(".",$E212,FIND("@",$E212)))),"ok","revisar"))</f>
        <v/>
      </c>
      <c r="G212" s="30"/>
      <c r="H212" s="30"/>
      <c r="I212" s="31"/>
      <c r="J212" s="30"/>
      <c r="K212" s="29"/>
      <c r="L212" s="30"/>
      <c r="M212" s="30"/>
    </row>
    <row r="213" customFormat="false" ht="15" hidden="false" customHeight="false" outlineLevel="0" collapsed="false">
      <c r="A213" s="29"/>
      <c r="B213" s="30"/>
      <c r="C213" s="30"/>
      <c r="D213" s="30"/>
      <c r="E213" s="30"/>
      <c r="F213" s="28" t="str">
        <f aca="false">IF($E213="","",IF(AND(ISNUMBER(FIND("@",$E213)),ISNUMBER(FIND(".",$E213,FIND("@",$E213)))),"ok","revisar"))</f>
        <v/>
      </c>
      <c r="G213" s="30"/>
      <c r="H213" s="30"/>
      <c r="I213" s="31"/>
      <c r="J213" s="30"/>
      <c r="K213" s="29"/>
      <c r="L213" s="30"/>
      <c r="M213" s="30"/>
    </row>
    <row r="214" customFormat="false" ht="15" hidden="false" customHeight="false" outlineLevel="0" collapsed="false">
      <c r="A214" s="29"/>
      <c r="B214" s="30"/>
      <c r="C214" s="30"/>
      <c r="D214" s="30"/>
      <c r="E214" s="30"/>
      <c r="F214" s="28" t="str">
        <f aca="false">IF($E214="","",IF(AND(ISNUMBER(FIND("@",$E214)),ISNUMBER(FIND(".",$E214,FIND("@",$E214)))),"ok","revisar"))</f>
        <v/>
      </c>
      <c r="G214" s="30"/>
      <c r="H214" s="30"/>
      <c r="I214" s="31"/>
      <c r="J214" s="30"/>
      <c r="K214" s="29"/>
      <c r="L214" s="30"/>
      <c r="M214" s="30"/>
    </row>
    <row r="215" customFormat="false" ht="15" hidden="false" customHeight="false" outlineLevel="0" collapsed="false">
      <c r="A215" s="29"/>
      <c r="B215" s="30"/>
      <c r="C215" s="30"/>
      <c r="D215" s="30"/>
      <c r="E215" s="30"/>
      <c r="F215" s="28" t="str">
        <f aca="false">IF($E215="","",IF(AND(ISNUMBER(FIND("@",$E215)),ISNUMBER(FIND(".",$E215,FIND("@",$E215)))),"ok","revisar"))</f>
        <v/>
      </c>
      <c r="G215" s="30"/>
      <c r="H215" s="30"/>
      <c r="I215" s="31"/>
      <c r="J215" s="30"/>
      <c r="K215" s="29"/>
      <c r="L215" s="30"/>
      <c r="M215" s="30"/>
    </row>
    <row r="216" customFormat="false" ht="15" hidden="false" customHeight="false" outlineLevel="0" collapsed="false">
      <c r="A216" s="29"/>
      <c r="B216" s="30"/>
      <c r="C216" s="30"/>
      <c r="D216" s="30"/>
      <c r="E216" s="30"/>
      <c r="F216" s="28" t="str">
        <f aca="false">IF($E216="","",IF(AND(ISNUMBER(FIND("@",$E216)),ISNUMBER(FIND(".",$E216,FIND("@",$E216)))),"ok","revisar"))</f>
        <v/>
      </c>
      <c r="G216" s="30"/>
      <c r="H216" s="30"/>
      <c r="I216" s="31"/>
      <c r="J216" s="30"/>
      <c r="K216" s="29"/>
      <c r="L216" s="30"/>
      <c r="M216" s="30"/>
    </row>
    <row r="217" customFormat="false" ht="15" hidden="false" customHeight="false" outlineLevel="0" collapsed="false">
      <c r="A217" s="29"/>
      <c r="B217" s="30"/>
      <c r="C217" s="30"/>
      <c r="D217" s="30"/>
      <c r="E217" s="30"/>
      <c r="F217" s="28" t="str">
        <f aca="false">IF($E217="","",IF(AND(ISNUMBER(FIND("@",$E217)),ISNUMBER(FIND(".",$E217,FIND("@",$E217)))),"ok","revisar"))</f>
        <v/>
      </c>
      <c r="G217" s="30"/>
      <c r="H217" s="30"/>
      <c r="I217" s="31"/>
      <c r="J217" s="30"/>
      <c r="K217" s="29"/>
      <c r="L217" s="30"/>
      <c r="M217" s="30"/>
    </row>
    <row r="218" customFormat="false" ht="15" hidden="false" customHeight="false" outlineLevel="0" collapsed="false">
      <c r="A218" s="29"/>
      <c r="B218" s="30"/>
      <c r="C218" s="30"/>
      <c r="D218" s="30"/>
      <c r="E218" s="30"/>
      <c r="F218" s="28" t="str">
        <f aca="false">IF($E218="","",IF(AND(ISNUMBER(FIND("@",$E218)),ISNUMBER(FIND(".",$E218,FIND("@",$E218)))),"ok","revisar"))</f>
        <v/>
      </c>
      <c r="G218" s="30"/>
      <c r="H218" s="30"/>
      <c r="I218" s="31"/>
      <c r="J218" s="30"/>
      <c r="K218" s="29"/>
      <c r="L218" s="30"/>
      <c r="M218" s="30"/>
    </row>
    <row r="219" customFormat="false" ht="15" hidden="false" customHeight="false" outlineLevel="0" collapsed="false">
      <c r="A219" s="29"/>
      <c r="B219" s="30"/>
      <c r="C219" s="30"/>
      <c r="D219" s="30"/>
      <c r="E219" s="30"/>
      <c r="F219" s="28" t="str">
        <f aca="false">IF($E219="","",IF(AND(ISNUMBER(FIND("@",$E219)),ISNUMBER(FIND(".",$E219,FIND("@",$E219)))),"ok","revisar"))</f>
        <v/>
      </c>
      <c r="G219" s="30"/>
      <c r="H219" s="30"/>
      <c r="I219" s="31"/>
      <c r="J219" s="30"/>
      <c r="K219" s="29"/>
      <c r="L219" s="30"/>
      <c r="M219" s="30"/>
    </row>
    <row r="220" customFormat="false" ht="15" hidden="false" customHeight="false" outlineLevel="0" collapsed="false">
      <c r="A220" s="29"/>
      <c r="B220" s="30"/>
      <c r="C220" s="30"/>
      <c r="D220" s="30"/>
      <c r="E220" s="30"/>
      <c r="F220" s="28" t="str">
        <f aca="false">IF($E220="","",IF(AND(ISNUMBER(FIND("@",$E220)),ISNUMBER(FIND(".",$E220,FIND("@",$E220)))),"ok","revisar"))</f>
        <v/>
      </c>
      <c r="G220" s="30"/>
      <c r="H220" s="30"/>
      <c r="I220" s="31"/>
      <c r="J220" s="30"/>
      <c r="K220" s="29"/>
      <c r="L220" s="30"/>
      <c r="M220" s="30"/>
    </row>
    <row r="221" customFormat="false" ht="15" hidden="false" customHeight="false" outlineLevel="0" collapsed="false">
      <c r="A221" s="29"/>
      <c r="B221" s="30"/>
      <c r="C221" s="30"/>
      <c r="D221" s="30"/>
      <c r="E221" s="30"/>
      <c r="F221" s="28" t="str">
        <f aca="false">IF($E221="","",IF(AND(ISNUMBER(FIND("@",$E221)),ISNUMBER(FIND(".",$E221,FIND("@",$E221)))),"ok","revisar"))</f>
        <v/>
      </c>
      <c r="G221" s="30"/>
      <c r="H221" s="30"/>
      <c r="I221" s="31"/>
      <c r="J221" s="30"/>
      <c r="K221" s="29"/>
      <c r="L221" s="30"/>
      <c r="M221" s="30"/>
    </row>
    <row r="222" customFormat="false" ht="15" hidden="false" customHeight="false" outlineLevel="0" collapsed="false">
      <c r="A222" s="29"/>
      <c r="B222" s="30"/>
      <c r="C222" s="30"/>
      <c r="D222" s="30"/>
      <c r="E222" s="30"/>
      <c r="F222" s="28" t="str">
        <f aca="false">IF($E222="","",IF(AND(ISNUMBER(FIND("@",$E222)),ISNUMBER(FIND(".",$E222,FIND("@",$E222)))),"ok","revisar"))</f>
        <v/>
      </c>
      <c r="G222" s="30"/>
      <c r="H222" s="30"/>
      <c r="I222" s="31"/>
      <c r="J222" s="30"/>
      <c r="K222" s="29"/>
      <c r="L222" s="30"/>
      <c r="M222" s="30"/>
    </row>
    <row r="223" customFormat="false" ht="15" hidden="false" customHeight="false" outlineLevel="0" collapsed="false">
      <c r="A223" s="29"/>
      <c r="B223" s="30"/>
      <c r="C223" s="30"/>
      <c r="D223" s="30"/>
      <c r="E223" s="30"/>
      <c r="F223" s="28" t="str">
        <f aca="false">IF($E223="","",IF(AND(ISNUMBER(FIND("@",$E223)),ISNUMBER(FIND(".",$E223,FIND("@",$E223)))),"ok","revisar"))</f>
        <v/>
      </c>
      <c r="G223" s="30"/>
      <c r="H223" s="30"/>
      <c r="I223" s="31"/>
      <c r="J223" s="30"/>
      <c r="K223" s="29"/>
      <c r="L223" s="30"/>
      <c r="M223" s="30"/>
    </row>
    <row r="224" customFormat="false" ht="15" hidden="false" customHeight="false" outlineLevel="0" collapsed="false">
      <c r="A224" s="29"/>
      <c r="B224" s="30"/>
      <c r="C224" s="30"/>
      <c r="D224" s="30"/>
      <c r="E224" s="30"/>
      <c r="F224" s="28" t="str">
        <f aca="false">IF($E224="","",IF(AND(ISNUMBER(FIND("@",$E224)),ISNUMBER(FIND(".",$E224,FIND("@",$E224)))),"ok","revisar"))</f>
        <v/>
      </c>
      <c r="G224" s="30"/>
      <c r="H224" s="30"/>
      <c r="I224" s="31"/>
      <c r="J224" s="30"/>
      <c r="K224" s="29"/>
      <c r="L224" s="30"/>
      <c r="M224" s="30"/>
    </row>
    <row r="225" customFormat="false" ht="15" hidden="false" customHeight="false" outlineLevel="0" collapsed="false">
      <c r="A225" s="29"/>
      <c r="B225" s="30"/>
      <c r="C225" s="30"/>
      <c r="D225" s="30"/>
      <c r="E225" s="30"/>
      <c r="F225" s="28" t="str">
        <f aca="false">IF($E225="","",IF(AND(ISNUMBER(FIND("@",$E225)),ISNUMBER(FIND(".",$E225,FIND("@",$E225)))),"ok","revisar"))</f>
        <v/>
      </c>
      <c r="G225" s="30"/>
      <c r="H225" s="30"/>
      <c r="I225" s="31"/>
      <c r="J225" s="30"/>
      <c r="K225" s="29"/>
      <c r="L225" s="30"/>
      <c r="M225" s="30"/>
    </row>
    <row r="226" customFormat="false" ht="15" hidden="false" customHeight="false" outlineLevel="0" collapsed="false">
      <c r="A226" s="29"/>
      <c r="B226" s="30"/>
      <c r="C226" s="30"/>
      <c r="D226" s="30"/>
      <c r="E226" s="30"/>
      <c r="F226" s="28" t="str">
        <f aca="false">IF($E226="","",IF(AND(ISNUMBER(FIND("@",$E226)),ISNUMBER(FIND(".",$E226,FIND("@",$E226)))),"ok","revisar"))</f>
        <v/>
      </c>
      <c r="G226" s="30"/>
      <c r="H226" s="30"/>
      <c r="I226" s="31"/>
      <c r="J226" s="30"/>
      <c r="K226" s="29"/>
      <c r="L226" s="30"/>
      <c r="M226" s="30"/>
    </row>
    <row r="227" customFormat="false" ht="15" hidden="false" customHeight="false" outlineLevel="0" collapsed="false">
      <c r="A227" s="29"/>
      <c r="B227" s="30"/>
      <c r="C227" s="30"/>
      <c r="D227" s="30"/>
      <c r="E227" s="30"/>
      <c r="F227" s="28" t="str">
        <f aca="false">IF($E227="","",IF(AND(ISNUMBER(FIND("@",$E227)),ISNUMBER(FIND(".",$E227,FIND("@",$E227)))),"ok","revisar"))</f>
        <v/>
      </c>
      <c r="G227" s="30"/>
      <c r="H227" s="30"/>
      <c r="I227" s="31"/>
      <c r="J227" s="30"/>
      <c r="K227" s="29"/>
      <c r="L227" s="30"/>
      <c r="M227" s="30"/>
    </row>
    <row r="228" customFormat="false" ht="15" hidden="false" customHeight="false" outlineLevel="0" collapsed="false">
      <c r="A228" s="29"/>
      <c r="B228" s="30"/>
      <c r="C228" s="30"/>
      <c r="D228" s="30"/>
      <c r="E228" s="30"/>
      <c r="F228" s="28" t="str">
        <f aca="false">IF($E228="","",IF(AND(ISNUMBER(FIND("@",$E228)),ISNUMBER(FIND(".",$E228,FIND("@",$E228)))),"ok","revisar"))</f>
        <v/>
      </c>
      <c r="G228" s="30"/>
      <c r="H228" s="30"/>
      <c r="I228" s="31"/>
      <c r="J228" s="30"/>
      <c r="K228" s="29"/>
      <c r="L228" s="30"/>
      <c r="M228" s="30"/>
    </row>
    <row r="229" customFormat="false" ht="15" hidden="false" customHeight="false" outlineLevel="0" collapsed="false">
      <c r="A229" s="29"/>
      <c r="B229" s="30"/>
      <c r="C229" s="30"/>
      <c r="D229" s="30"/>
      <c r="E229" s="30"/>
      <c r="F229" s="28" t="str">
        <f aca="false">IF($E229="","",IF(AND(ISNUMBER(FIND("@",$E229)),ISNUMBER(FIND(".",$E229,FIND("@",$E229)))),"ok","revisar"))</f>
        <v/>
      </c>
      <c r="G229" s="30"/>
      <c r="H229" s="30"/>
      <c r="I229" s="31"/>
      <c r="J229" s="30"/>
      <c r="K229" s="29"/>
      <c r="L229" s="30"/>
      <c r="M229" s="30"/>
    </row>
    <row r="230" customFormat="false" ht="15" hidden="false" customHeight="false" outlineLevel="0" collapsed="false">
      <c r="A230" s="29"/>
      <c r="B230" s="30"/>
      <c r="C230" s="30"/>
      <c r="D230" s="30"/>
      <c r="E230" s="30"/>
      <c r="F230" s="28" t="str">
        <f aca="false">IF($E230="","",IF(AND(ISNUMBER(FIND("@",$E230)),ISNUMBER(FIND(".",$E230,FIND("@",$E230)))),"ok","revisar"))</f>
        <v/>
      </c>
      <c r="G230" s="30"/>
      <c r="H230" s="30"/>
      <c r="I230" s="31"/>
      <c r="J230" s="30"/>
      <c r="K230" s="29"/>
      <c r="L230" s="30"/>
      <c r="M230" s="30"/>
    </row>
    <row r="231" customFormat="false" ht="15" hidden="false" customHeight="false" outlineLevel="0" collapsed="false">
      <c r="A231" s="29"/>
      <c r="B231" s="30"/>
      <c r="C231" s="30"/>
      <c r="D231" s="30"/>
      <c r="E231" s="30"/>
      <c r="F231" s="28" t="str">
        <f aca="false">IF($E231="","",IF(AND(ISNUMBER(FIND("@",$E231)),ISNUMBER(FIND(".",$E231,FIND("@",$E231)))),"ok","revisar"))</f>
        <v/>
      </c>
      <c r="G231" s="30"/>
      <c r="H231" s="30"/>
      <c r="I231" s="31"/>
      <c r="J231" s="30"/>
      <c r="K231" s="29"/>
      <c r="L231" s="30"/>
      <c r="M231" s="30"/>
    </row>
    <row r="232" customFormat="false" ht="15" hidden="false" customHeight="false" outlineLevel="0" collapsed="false">
      <c r="A232" s="29"/>
      <c r="B232" s="30"/>
      <c r="C232" s="30"/>
      <c r="D232" s="30"/>
      <c r="E232" s="30"/>
      <c r="F232" s="28" t="str">
        <f aca="false">IF($E232="","",IF(AND(ISNUMBER(FIND("@",$E232)),ISNUMBER(FIND(".",$E232,FIND("@",$E232)))),"ok","revisar"))</f>
        <v/>
      </c>
      <c r="G232" s="30"/>
      <c r="H232" s="30"/>
      <c r="I232" s="31"/>
      <c r="J232" s="30"/>
      <c r="K232" s="29"/>
      <c r="L232" s="30"/>
      <c r="M232" s="30"/>
    </row>
    <row r="233" customFormat="false" ht="15" hidden="false" customHeight="false" outlineLevel="0" collapsed="false">
      <c r="A233" s="29"/>
      <c r="B233" s="30"/>
      <c r="C233" s="30"/>
      <c r="D233" s="30"/>
      <c r="E233" s="30"/>
      <c r="F233" s="28" t="str">
        <f aca="false">IF($E233="","",IF(AND(ISNUMBER(FIND("@",$E233)),ISNUMBER(FIND(".",$E233,FIND("@",$E233)))),"ok","revisar"))</f>
        <v/>
      </c>
      <c r="G233" s="30"/>
      <c r="H233" s="30"/>
      <c r="I233" s="31"/>
      <c r="J233" s="30"/>
      <c r="K233" s="29"/>
      <c r="L233" s="30"/>
      <c r="M233" s="30"/>
    </row>
    <row r="234" customFormat="false" ht="15" hidden="false" customHeight="false" outlineLevel="0" collapsed="false">
      <c r="A234" s="29"/>
      <c r="B234" s="30"/>
      <c r="C234" s="30"/>
      <c r="D234" s="30"/>
      <c r="E234" s="30"/>
      <c r="F234" s="28" t="str">
        <f aca="false">IF($E234="","",IF(AND(ISNUMBER(FIND("@",$E234)),ISNUMBER(FIND(".",$E234,FIND("@",$E234)))),"ok","revisar"))</f>
        <v/>
      </c>
      <c r="G234" s="30"/>
      <c r="H234" s="30"/>
      <c r="I234" s="31"/>
      <c r="J234" s="30"/>
      <c r="K234" s="29"/>
      <c r="L234" s="30"/>
      <c r="M234" s="30"/>
    </row>
    <row r="235" customFormat="false" ht="15" hidden="false" customHeight="false" outlineLevel="0" collapsed="false">
      <c r="A235" s="29"/>
      <c r="B235" s="30"/>
      <c r="C235" s="30"/>
      <c r="D235" s="30"/>
      <c r="E235" s="30"/>
      <c r="F235" s="28" t="str">
        <f aca="false">IF($E235="","",IF(AND(ISNUMBER(FIND("@",$E235)),ISNUMBER(FIND(".",$E235,FIND("@",$E235)))),"ok","revisar"))</f>
        <v/>
      </c>
      <c r="G235" s="30"/>
      <c r="H235" s="30"/>
      <c r="I235" s="31"/>
      <c r="J235" s="30"/>
      <c r="K235" s="29"/>
      <c r="L235" s="30"/>
      <c r="M235" s="30"/>
    </row>
    <row r="236" customFormat="false" ht="15" hidden="false" customHeight="false" outlineLevel="0" collapsed="false">
      <c r="A236" s="29"/>
      <c r="B236" s="30"/>
      <c r="C236" s="30"/>
      <c r="D236" s="30"/>
      <c r="E236" s="30"/>
      <c r="F236" s="28" t="str">
        <f aca="false">IF($E236="","",IF(AND(ISNUMBER(FIND("@",$E236)),ISNUMBER(FIND(".",$E236,FIND("@",$E236)))),"ok","revisar"))</f>
        <v/>
      </c>
      <c r="G236" s="30"/>
      <c r="H236" s="30"/>
      <c r="I236" s="31"/>
      <c r="J236" s="30"/>
      <c r="K236" s="29"/>
      <c r="L236" s="30"/>
      <c r="M236" s="30"/>
    </row>
    <row r="237" customFormat="false" ht="15" hidden="false" customHeight="false" outlineLevel="0" collapsed="false">
      <c r="A237" s="29"/>
      <c r="B237" s="30"/>
      <c r="C237" s="30"/>
      <c r="D237" s="30"/>
      <c r="E237" s="30"/>
      <c r="F237" s="28" t="str">
        <f aca="false">IF($E237="","",IF(AND(ISNUMBER(FIND("@",$E237)),ISNUMBER(FIND(".",$E237,FIND("@",$E237)))),"ok","revisar"))</f>
        <v/>
      </c>
      <c r="G237" s="30"/>
      <c r="H237" s="30"/>
      <c r="I237" s="31"/>
      <c r="J237" s="30"/>
      <c r="K237" s="29"/>
      <c r="L237" s="30"/>
      <c r="M237" s="30"/>
    </row>
    <row r="238" customFormat="false" ht="15" hidden="false" customHeight="false" outlineLevel="0" collapsed="false">
      <c r="A238" s="29"/>
      <c r="B238" s="30"/>
      <c r="C238" s="30"/>
      <c r="D238" s="30"/>
      <c r="E238" s="30"/>
      <c r="F238" s="28" t="str">
        <f aca="false">IF($E238="","",IF(AND(ISNUMBER(FIND("@",$E238)),ISNUMBER(FIND(".",$E238,FIND("@",$E238)))),"ok","revisar"))</f>
        <v/>
      </c>
      <c r="G238" s="30"/>
      <c r="H238" s="30"/>
      <c r="I238" s="31"/>
      <c r="J238" s="30"/>
      <c r="K238" s="29"/>
      <c r="L238" s="30"/>
      <c r="M238" s="30"/>
    </row>
    <row r="239" customFormat="false" ht="15" hidden="false" customHeight="false" outlineLevel="0" collapsed="false">
      <c r="A239" s="29"/>
      <c r="B239" s="30"/>
      <c r="C239" s="30"/>
      <c r="D239" s="30"/>
      <c r="E239" s="30"/>
      <c r="F239" s="28" t="str">
        <f aca="false">IF($E239="","",IF(AND(ISNUMBER(FIND("@",$E239)),ISNUMBER(FIND(".",$E239,FIND("@",$E239)))),"ok","revisar"))</f>
        <v/>
      </c>
      <c r="G239" s="30"/>
      <c r="H239" s="30"/>
      <c r="I239" s="31"/>
      <c r="J239" s="30"/>
      <c r="K239" s="29"/>
      <c r="L239" s="30"/>
      <c r="M239" s="30"/>
    </row>
    <row r="240" customFormat="false" ht="15" hidden="false" customHeight="false" outlineLevel="0" collapsed="false">
      <c r="A240" s="29"/>
      <c r="B240" s="30"/>
      <c r="C240" s="30"/>
      <c r="D240" s="30"/>
      <c r="E240" s="30"/>
      <c r="F240" s="28" t="str">
        <f aca="false">IF($E240="","",IF(AND(ISNUMBER(FIND("@",$E240)),ISNUMBER(FIND(".",$E240,FIND("@",$E240)))),"ok","revisar"))</f>
        <v/>
      </c>
      <c r="G240" s="30"/>
      <c r="H240" s="30"/>
      <c r="I240" s="31"/>
      <c r="J240" s="30"/>
      <c r="K240" s="29"/>
      <c r="L240" s="30"/>
      <c r="M240" s="30"/>
    </row>
    <row r="241" customFormat="false" ht="15" hidden="false" customHeight="false" outlineLevel="0" collapsed="false">
      <c r="A241" s="29"/>
      <c r="B241" s="30"/>
      <c r="C241" s="30"/>
      <c r="D241" s="30"/>
      <c r="E241" s="30"/>
      <c r="F241" s="28" t="str">
        <f aca="false">IF($E241="","",IF(AND(ISNUMBER(FIND("@",$E241)),ISNUMBER(FIND(".",$E241,FIND("@",$E241)))),"ok","revisar"))</f>
        <v/>
      </c>
      <c r="G241" s="30"/>
      <c r="H241" s="30"/>
      <c r="I241" s="31"/>
      <c r="J241" s="30"/>
      <c r="K241" s="29"/>
      <c r="L241" s="30"/>
      <c r="M241" s="30"/>
    </row>
    <row r="242" customFormat="false" ht="15" hidden="false" customHeight="false" outlineLevel="0" collapsed="false">
      <c r="A242" s="29"/>
      <c r="B242" s="30"/>
      <c r="C242" s="30"/>
      <c r="D242" s="30"/>
      <c r="E242" s="30"/>
      <c r="F242" s="28" t="str">
        <f aca="false">IF($E242="","",IF(AND(ISNUMBER(FIND("@",$E242)),ISNUMBER(FIND(".",$E242,FIND("@",$E242)))),"ok","revisar"))</f>
        <v/>
      </c>
      <c r="G242" s="30"/>
      <c r="H242" s="30"/>
      <c r="I242" s="31"/>
      <c r="J242" s="30"/>
      <c r="K242" s="29"/>
      <c r="L242" s="30"/>
      <c r="M242" s="30"/>
    </row>
    <row r="243" customFormat="false" ht="15" hidden="false" customHeight="false" outlineLevel="0" collapsed="false">
      <c r="A243" s="29"/>
      <c r="B243" s="30"/>
      <c r="C243" s="30"/>
      <c r="D243" s="30"/>
      <c r="E243" s="30"/>
      <c r="F243" s="28" t="str">
        <f aca="false">IF($E243="","",IF(AND(ISNUMBER(FIND("@",$E243)),ISNUMBER(FIND(".",$E243,FIND("@",$E243)))),"ok","revisar"))</f>
        <v/>
      </c>
      <c r="G243" s="30"/>
      <c r="H243" s="30"/>
      <c r="I243" s="31"/>
      <c r="J243" s="30"/>
      <c r="K243" s="29"/>
      <c r="L243" s="30"/>
      <c r="M243" s="30"/>
    </row>
    <row r="244" customFormat="false" ht="15" hidden="false" customHeight="false" outlineLevel="0" collapsed="false">
      <c r="A244" s="29"/>
      <c r="B244" s="30"/>
      <c r="C244" s="30"/>
      <c r="D244" s="30"/>
      <c r="E244" s="30"/>
      <c r="F244" s="28" t="str">
        <f aca="false">IF($E244="","",IF(AND(ISNUMBER(FIND("@",$E244)),ISNUMBER(FIND(".",$E244,FIND("@",$E244)))),"ok","revisar"))</f>
        <v/>
      </c>
      <c r="G244" s="30"/>
      <c r="H244" s="30"/>
      <c r="I244" s="31"/>
      <c r="J244" s="30"/>
      <c r="K244" s="29"/>
      <c r="L244" s="30"/>
      <c r="M244" s="30"/>
    </row>
    <row r="245" customFormat="false" ht="15" hidden="false" customHeight="false" outlineLevel="0" collapsed="false">
      <c r="A245" s="29"/>
      <c r="B245" s="30"/>
      <c r="C245" s="30"/>
      <c r="D245" s="30"/>
      <c r="E245" s="30"/>
      <c r="F245" s="28" t="str">
        <f aca="false">IF($E245="","",IF(AND(ISNUMBER(FIND("@",$E245)),ISNUMBER(FIND(".",$E245,FIND("@",$E245)))),"ok","revisar"))</f>
        <v/>
      </c>
      <c r="G245" s="30"/>
      <c r="H245" s="30"/>
      <c r="I245" s="31"/>
      <c r="J245" s="30"/>
      <c r="K245" s="29"/>
      <c r="L245" s="30"/>
      <c r="M245" s="30"/>
    </row>
    <row r="246" customFormat="false" ht="15" hidden="false" customHeight="false" outlineLevel="0" collapsed="false">
      <c r="A246" s="29"/>
      <c r="B246" s="30"/>
      <c r="C246" s="30"/>
      <c r="D246" s="30"/>
      <c r="E246" s="30"/>
      <c r="F246" s="28" t="str">
        <f aca="false">IF($E246="","",IF(AND(ISNUMBER(FIND("@",$E246)),ISNUMBER(FIND(".",$E246,FIND("@",$E246)))),"ok","revisar"))</f>
        <v/>
      </c>
      <c r="G246" s="30"/>
      <c r="H246" s="30"/>
      <c r="I246" s="31"/>
      <c r="J246" s="30"/>
      <c r="K246" s="29"/>
      <c r="L246" s="30"/>
      <c r="M246" s="30"/>
    </row>
    <row r="247" customFormat="false" ht="15" hidden="false" customHeight="false" outlineLevel="0" collapsed="false">
      <c r="A247" s="29"/>
      <c r="B247" s="30"/>
      <c r="C247" s="30"/>
      <c r="D247" s="30"/>
      <c r="E247" s="30"/>
      <c r="F247" s="28" t="str">
        <f aca="false">IF($E247="","",IF(AND(ISNUMBER(FIND("@",$E247)),ISNUMBER(FIND(".",$E247,FIND("@",$E247)))),"ok","revisar"))</f>
        <v/>
      </c>
      <c r="G247" s="30"/>
      <c r="H247" s="30"/>
      <c r="I247" s="31"/>
      <c r="J247" s="30"/>
      <c r="K247" s="29"/>
      <c r="L247" s="30"/>
      <c r="M247" s="30"/>
    </row>
    <row r="248" customFormat="false" ht="15" hidden="false" customHeight="false" outlineLevel="0" collapsed="false">
      <c r="A248" s="29"/>
      <c r="B248" s="30"/>
      <c r="C248" s="30"/>
      <c r="D248" s="30"/>
      <c r="E248" s="30"/>
      <c r="F248" s="28" t="str">
        <f aca="false">IF($E248="","",IF(AND(ISNUMBER(FIND("@",$E248)),ISNUMBER(FIND(".",$E248,FIND("@",$E248)))),"ok","revisar"))</f>
        <v/>
      </c>
      <c r="G248" s="30"/>
      <c r="H248" s="30"/>
      <c r="I248" s="31"/>
      <c r="J248" s="30"/>
      <c r="K248" s="29"/>
      <c r="L248" s="30"/>
      <c r="M248" s="30"/>
    </row>
    <row r="249" customFormat="false" ht="15" hidden="false" customHeight="false" outlineLevel="0" collapsed="false">
      <c r="A249" s="29"/>
      <c r="B249" s="30"/>
      <c r="C249" s="30"/>
      <c r="D249" s="30"/>
      <c r="E249" s="30"/>
      <c r="F249" s="28" t="str">
        <f aca="false">IF($E249="","",IF(AND(ISNUMBER(FIND("@",$E249)),ISNUMBER(FIND(".",$E249,FIND("@",$E249)))),"ok","revisar"))</f>
        <v/>
      </c>
      <c r="G249" s="30"/>
      <c r="H249" s="30"/>
      <c r="I249" s="31"/>
      <c r="J249" s="30"/>
      <c r="K249" s="29"/>
      <c r="L249" s="30"/>
      <c r="M249" s="30"/>
    </row>
    <row r="250" customFormat="false" ht="15" hidden="false" customHeight="false" outlineLevel="0" collapsed="false">
      <c r="A250" s="29"/>
      <c r="B250" s="30"/>
      <c r="C250" s="30"/>
      <c r="D250" s="30"/>
      <c r="E250" s="30"/>
      <c r="F250" s="28" t="str">
        <f aca="false">IF($E250="","",IF(AND(ISNUMBER(FIND("@",$E250)),ISNUMBER(FIND(".",$E250,FIND("@",$E250)))),"ok","revisar"))</f>
        <v/>
      </c>
      <c r="G250" s="30"/>
      <c r="H250" s="30"/>
      <c r="I250" s="31"/>
      <c r="J250" s="30"/>
      <c r="K250" s="29"/>
      <c r="L250" s="30"/>
      <c r="M250" s="30"/>
    </row>
    <row r="251" customFormat="false" ht="15" hidden="false" customHeight="false" outlineLevel="0" collapsed="false">
      <c r="A251" s="29"/>
      <c r="B251" s="30"/>
      <c r="C251" s="30"/>
      <c r="D251" s="30"/>
      <c r="E251" s="30"/>
      <c r="F251" s="28" t="str">
        <f aca="false">IF($E251="","",IF(AND(ISNUMBER(FIND("@",$E251)),ISNUMBER(FIND(".",$E251,FIND("@",$E251)))),"ok","revisar"))</f>
        <v/>
      </c>
      <c r="G251" s="30"/>
      <c r="H251" s="30"/>
      <c r="I251" s="31"/>
      <c r="J251" s="30"/>
      <c r="K251" s="29"/>
      <c r="L251" s="30"/>
      <c r="M251" s="30"/>
    </row>
    <row r="252" customFormat="false" ht="15" hidden="false" customHeight="false" outlineLevel="0" collapsed="false">
      <c r="A252" s="29"/>
      <c r="B252" s="30"/>
      <c r="C252" s="30"/>
      <c r="D252" s="30"/>
      <c r="E252" s="30"/>
      <c r="F252" s="28" t="str">
        <f aca="false">IF($E252="","",IF(AND(ISNUMBER(FIND("@",$E252)),ISNUMBER(FIND(".",$E252,FIND("@",$E252)))),"ok","revisar"))</f>
        <v/>
      </c>
      <c r="G252" s="30"/>
      <c r="H252" s="30"/>
      <c r="I252" s="31"/>
      <c r="J252" s="30"/>
      <c r="K252" s="29"/>
      <c r="L252" s="30"/>
      <c r="M252" s="30"/>
    </row>
    <row r="253" customFormat="false" ht="15" hidden="false" customHeight="false" outlineLevel="0" collapsed="false">
      <c r="A253" s="29"/>
      <c r="B253" s="30"/>
      <c r="C253" s="30"/>
      <c r="D253" s="30"/>
      <c r="E253" s="30"/>
      <c r="F253" s="28" t="str">
        <f aca="false">IF($E253="","",IF(AND(ISNUMBER(FIND("@",$E253)),ISNUMBER(FIND(".",$E253,FIND("@",$E253)))),"ok","revisar"))</f>
        <v/>
      </c>
      <c r="G253" s="30"/>
      <c r="H253" s="30"/>
      <c r="I253" s="31"/>
      <c r="J253" s="30"/>
      <c r="K253" s="29"/>
      <c r="L253" s="30"/>
      <c r="M253" s="30"/>
    </row>
    <row r="254" customFormat="false" ht="15" hidden="false" customHeight="false" outlineLevel="0" collapsed="false">
      <c r="A254" s="29"/>
      <c r="B254" s="30"/>
      <c r="C254" s="30"/>
      <c r="D254" s="30"/>
      <c r="E254" s="30"/>
      <c r="F254" s="28" t="str">
        <f aca="false">IF($E254="","",IF(AND(ISNUMBER(FIND("@",$E254)),ISNUMBER(FIND(".",$E254,FIND("@",$E254)))),"ok","revisar"))</f>
        <v/>
      </c>
      <c r="G254" s="30"/>
      <c r="H254" s="30"/>
      <c r="I254" s="31"/>
      <c r="J254" s="30"/>
      <c r="K254" s="29"/>
      <c r="L254" s="30"/>
      <c r="M254" s="30"/>
    </row>
    <row r="255" customFormat="false" ht="15" hidden="false" customHeight="false" outlineLevel="0" collapsed="false">
      <c r="A255" s="29"/>
      <c r="B255" s="30"/>
      <c r="C255" s="30"/>
      <c r="D255" s="30"/>
      <c r="E255" s="30"/>
      <c r="F255" s="28" t="str">
        <f aca="false">IF($E255="","",IF(AND(ISNUMBER(FIND("@",$E255)),ISNUMBER(FIND(".",$E255,FIND("@",$E255)))),"ok","revisar"))</f>
        <v/>
      </c>
      <c r="G255" s="30"/>
      <c r="H255" s="30"/>
      <c r="I255" s="31"/>
      <c r="J255" s="30"/>
      <c r="K255" s="29"/>
      <c r="L255" s="30"/>
      <c r="M255" s="30"/>
    </row>
    <row r="256" customFormat="false" ht="15" hidden="false" customHeight="false" outlineLevel="0" collapsed="false">
      <c r="A256" s="29"/>
      <c r="B256" s="30"/>
      <c r="C256" s="30"/>
      <c r="D256" s="30"/>
      <c r="E256" s="30"/>
      <c r="F256" s="28" t="str">
        <f aca="false">IF($E256="","",IF(AND(ISNUMBER(FIND("@",$E256)),ISNUMBER(FIND(".",$E256,FIND("@",$E256)))),"ok","revisar"))</f>
        <v/>
      </c>
      <c r="G256" s="30"/>
      <c r="H256" s="30"/>
      <c r="I256" s="31"/>
      <c r="J256" s="30"/>
      <c r="K256" s="29"/>
      <c r="L256" s="30"/>
      <c r="M256" s="30"/>
    </row>
    <row r="257" customFormat="false" ht="15" hidden="false" customHeight="false" outlineLevel="0" collapsed="false">
      <c r="A257" s="29"/>
      <c r="B257" s="30"/>
      <c r="C257" s="30"/>
      <c r="D257" s="30"/>
      <c r="E257" s="30"/>
      <c r="F257" s="28" t="str">
        <f aca="false">IF($E257="","",IF(AND(ISNUMBER(FIND("@",$E257)),ISNUMBER(FIND(".",$E257,FIND("@",$E257)))),"ok","revisar"))</f>
        <v/>
      </c>
      <c r="G257" s="30"/>
      <c r="H257" s="30"/>
      <c r="I257" s="31"/>
      <c r="J257" s="30"/>
      <c r="K257" s="29"/>
      <c r="L257" s="30"/>
      <c r="M257" s="30"/>
    </row>
    <row r="258" customFormat="false" ht="15" hidden="false" customHeight="false" outlineLevel="0" collapsed="false">
      <c r="A258" s="29"/>
      <c r="B258" s="30"/>
      <c r="C258" s="30"/>
      <c r="D258" s="30"/>
      <c r="E258" s="30"/>
      <c r="F258" s="28" t="str">
        <f aca="false">IF($E258="","",IF(AND(ISNUMBER(FIND("@",$E258)),ISNUMBER(FIND(".",$E258,FIND("@",$E258)))),"ok","revisar"))</f>
        <v/>
      </c>
      <c r="G258" s="30"/>
      <c r="H258" s="30"/>
      <c r="I258" s="31"/>
      <c r="J258" s="30"/>
      <c r="K258" s="29"/>
      <c r="L258" s="30"/>
      <c r="M258" s="30"/>
    </row>
    <row r="259" customFormat="false" ht="15" hidden="false" customHeight="false" outlineLevel="0" collapsed="false">
      <c r="A259" s="29"/>
      <c r="B259" s="30"/>
      <c r="C259" s="30"/>
      <c r="D259" s="30"/>
      <c r="E259" s="30"/>
      <c r="F259" s="28" t="str">
        <f aca="false">IF($E259="","",IF(AND(ISNUMBER(FIND("@",$E259)),ISNUMBER(FIND(".",$E259,FIND("@",$E259)))),"ok","revisar"))</f>
        <v/>
      </c>
      <c r="G259" s="30"/>
      <c r="H259" s="30"/>
      <c r="I259" s="31"/>
      <c r="J259" s="30"/>
      <c r="K259" s="29"/>
      <c r="L259" s="30"/>
      <c r="M259" s="30"/>
    </row>
    <row r="260" customFormat="false" ht="15" hidden="false" customHeight="false" outlineLevel="0" collapsed="false">
      <c r="A260" s="29"/>
      <c r="B260" s="30"/>
      <c r="C260" s="30"/>
      <c r="D260" s="30"/>
      <c r="E260" s="30"/>
      <c r="F260" s="28" t="str">
        <f aca="false">IF($E260="","",IF(AND(ISNUMBER(FIND("@",$E260)),ISNUMBER(FIND(".",$E260,FIND("@",$E260)))),"ok","revisar"))</f>
        <v/>
      </c>
      <c r="G260" s="30"/>
      <c r="H260" s="30"/>
      <c r="I260" s="31"/>
      <c r="J260" s="30"/>
      <c r="K260" s="29"/>
      <c r="L260" s="30"/>
      <c r="M260" s="30"/>
    </row>
    <row r="261" customFormat="false" ht="15" hidden="false" customHeight="false" outlineLevel="0" collapsed="false">
      <c r="A261" s="29"/>
      <c r="B261" s="30"/>
      <c r="C261" s="30"/>
      <c r="D261" s="30"/>
      <c r="E261" s="30"/>
      <c r="F261" s="28" t="str">
        <f aca="false">IF($E261="","",IF(AND(ISNUMBER(FIND("@",$E261)),ISNUMBER(FIND(".",$E261,FIND("@",$E261)))),"ok","revisar"))</f>
        <v/>
      </c>
      <c r="G261" s="30"/>
      <c r="H261" s="30"/>
      <c r="I261" s="31"/>
      <c r="J261" s="30"/>
      <c r="K261" s="29"/>
      <c r="L261" s="30"/>
      <c r="M261" s="30"/>
    </row>
    <row r="262" customFormat="false" ht="15" hidden="false" customHeight="false" outlineLevel="0" collapsed="false">
      <c r="A262" s="29"/>
      <c r="B262" s="30"/>
      <c r="C262" s="30"/>
      <c r="D262" s="30"/>
      <c r="E262" s="30"/>
      <c r="F262" s="28" t="str">
        <f aca="false">IF($E262="","",IF(AND(ISNUMBER(FIND("@",$E262)),ISNUMBER(FIND(".",$E262,FIND("@",$E262)))),"ok","revisar"))</f>
        <v/>
      </c>
      <c r="G262" s="30"/>
      <c r="H262" s="30"/>
      <c r="I262" s="31"/>
      <c r="J262" s="30"/>
      <c r="K262" s="29"/>
      <c r="L262" s="30"/>
      <c r="M262" s="30"/>
    </row>
    <row r="263" customFormat="false" ht="15" hidden="false" customHeight="false" outlineLevel="0" collapsed="false">
      <c r="A263" s="29"/>
      <c r="B263" s="30"/>
      <c r="C263" s="30"/>
      <c r="D263" s="30"/>
      <c r="E263" s="30"/>
      <c r="F263" s="28" t="str">
        <f aca="false">IF($E263="","",IF(AND(ISNUMBER(FIND("@",$E263)),ISNUMBER(FIND(".",$E263,FIND("@",$E263)))),"ok","revisar"))</f>
        <v/>
      </c>
      <c r="G263" s="30"/>
      <c r="H263" s="30"/>
      <c r="I263" s="31"/>
      <c r="J263" s="30"/>
      <c r="K263" s="29"/>
      <c r="L263" s="30"/>
      <c r="M263" s="30"/>
    </row>
    <row r="264" customFormat="false" ht="15" hidden="false" customHeight="false" outlineLevel="0" collapsed="false">
      <c r="A264" s="29"/>
      <c r="B264" s="30"/>
      <c r="C264" s="30"/>
      <c r="D264" s="30"/>
      <c r="E264" s="30"/>
      <c r="F264" s="28" t="str">
        <f aca="false">IF($E264="","",IF(AND(ISNUMBER(FIND("@",$E264)),ISNUMBER(FIND(".",$E264,FIND("@",$E264)))),"ok","revisar"))</f>
        <v/>
      </c>
      <c r="G264" s="30"/>
      <c r="H264" s="30"/>
      <c r="I264" s="31"/>
      <c r="J264" s="30"/>
      <c r="K264" s="29"/>
      <c r="L264" s="30"/>
      <c r="M264" s="30"/>
    </row>
    <row r="265" customFormat="false" ht="15" hidden="false" customHeight="false" outlineLevel="0" collapsed="false">
      <c r="A265" s="29"/>
      <c r="B265" s="30"/>
      <c r="C265" s="30"/>
      <c r="D265" s="30"/>
      <c r="E265" s="30"/>
      <c r="F265" s="28" t="str">
        <f aca="false">IF($E265="","",IF(AND(ISNUMBER(FIND("@",$E265)),ISNUMBER(FIND(".",$E265,FIND("@",$E265)))),"ok","revisar"))</f>
        <v/>
      </c>
      <c r="G265" s="30"/>
      <c r="H265" s="30"/>
      <c r="I265" s="31"/>
      <c r="J265" s="30"/>
      <c r="K265" s="29"/>
      <c r="L265" s="30"/>
      <c r="M265" s="30"/>
    </row>
    <row r="266" customFormat="false" ht="15" hidden="false" customHeight="false" outlineLevel="0" collapsed="false">
      <c r="A266" s="29"/>
      <c r="B266" s="30"/>
      <c r="C266" s="30"/>
      <c r="D266" s="30"/>
      <c r="E266" s="30"/>
      <c r="F266" s="28" t="str">
        <f aca="false">IF($E266="","",IF(AND(ISNUMBER(FIND("@",$E266)),ISNUMBER(FIND(".",$E266,FIND("@",$E266)))),"ok","revisar"))</f>
        <v/>
      </c>
      <c r="G266" s="30"/>
      <c r="H266" s="30"/>
      <c r="I266" s="31"/>
      <c r="J266" s="30"/>
      <c r="K266" s="29"/>
      <c r="L266" s="30"/>
      <c r="M266" s="30"/>
    </row>
    <row r="267" customFormat="false" ht="15" hidden="false" customHeight="false" outlineLevel="0" collapsed="false">
      <c r="A267" s="29"/>
      <c r="B267" s="30"/>
      <c r="C267" s="30"/>
      <c r="D267" s="30"/>
      <c r="E267" s="30"/>
      <c r="F267" s="28" t="str">
        <f aca="false">IF($E267="","",IF(AND(ISNUMBER(FIND("@",$E267)),ISNUMBER(FIND(".",$E267,FIND("@",$E267)))),"ok","revisar"))</f>
        <v/>
      </c>
      <c r="G267" s="30"/>
      <c r="H267" s="30"/>
      <c r="I267" s="31"/>
      <c r="J267" s="30"/>
      <c r="K267" s="29"/>
      <c r="L267" s="30"/>
      <c r="M267" s="30"/>
    </row>
    <row r="268" customFormat="false" ht="15" hidden="false" customHeight="false" outlineLevel="0" collapsed="false">
      <c r="A268" s="29"/>
      <c r="B268" s="30"/>
      <c r="C268" s="30"/>
      <c r="D268" s="30"/>
      <c r="E268" s="30"/>
      <c r="F268" s="28" t="str">
        <f aca="false">IF($E268="","",IF(AND(ISNUMBER(FIND("@",$E268)),ISNUMBER(FIND(".",$E268,FIND("@",$E268)))),"ok","revisar"))</f>
        <v/>
      </c>
      <c r="G268" s="30"/>
      <c r="H268" s="30"/>
      <c r="I268" s="31"/>
      <c r="J268" s="30"/>
      <c r="K268" s="29"/>
      <c r="L268" s="30"/>
      <c r="M268" s="30"/>
    </row>
    <row r="269" customFormat="false" ht="15" hidden="false" customHeight="false" outlineLevel="0" collapsed="false">
      <c r="A269" s="29"/>
      <c r="B269" s="30"/>
      <c r="C269" s="30"/>
      <c r="D269" s="30"/>
      <c r="E269" s="30"/>
      <c r="F269" s="28" t="str">
        <f aca="false">IF($E269="","",IF(AND(ISNUMBER(FIND("@",$E269)),ISNUMBER(FIND(".",$E269,FIND("@",$E269)))),"ok","revisar"))</f>
        <v/>
      </c>
      <c r="G269" s="30"/>
      <c r="H269" s="30"/>
      <c r="I269" s="31"/>
      <c r="J269" s="30"/>
      <c r="K269" s="29"/>
      <c r="L269" s="30"/>
      <c r="M269" s="30"/>
    </row>
    <row r="270" customFormat="false" ht="15" hidden="false" customHeight="false" outlineLevel="0" collapsed="false">
      <c r="A270" s="29"/>
      <c r="B270" s="30"/>
      <c r="C270" s="30"/>
      <c r="D270" s="30"/>
      <c r="E270" s="30"/>
      <c r="F270" s="28" t="str">
        <f aca="false">IF($E270="","",IF(AND(ISNUMBER(FIND("@",$E270)),ISNUMBER(FIND(".",$E270,FIND("@",$E270)))),"ok","revisar"))</f>
        <v/>
      </c>
      <c r="G270" s="30"/>
      <c r="H270" s="30"/>
      <c r="I270" s="31"/>
      <c r="J270" s="30"/>
      <c r="K270" s="29"/>
      <c r="L270" s="30"/>
      <c r="M270" s="30"/>
    </row>
    <row r="271" customFormat="false" ht="15" hidden="false" customHeight="false" outlineLevel="0" collapsed="false">
      <c r="A271" s="29"/>
      <c r="B271" s="30"/>
      <c r="C271" s="30"/>
      <c r="D271" s="30"/>
      <c r="E271" s="30"/>
      <c r="F271" s="28" t="str">
        <f aca="false">IF($E271="","",IF(AND(ISNUMBER(FIND("@",$E271)),ISNUMBER(FIND(".",$E271,FIND("@",$E271)))),"ok","revisar"))</f>
        <v/>
      </c>
      <c r="G271" s="30"/>
      <c r="H271" s="30"/>
      <c r="I271" s="31"/>
      <c r="J271" s="30"/>
      <c r="K271" s="29"/>
      <c r="L271" s="30"/>
      <c r="M271" s="30"/>
    </row>
    <row r="272" customFormat="false" ht="15" hidden="false" customHeight="false" outlineLevel="0" collapsed="false">
      <c r="A272" s="29"/>
      <c r="B272" s="30"/>
      <c r="C272" s="30"/>
      <c r="D272" s="30"/>
      <c r="E272" s="30"/>
      <c r="F272" s="28" t="str">
        <f aca="false">IF($E272="","",IF(AND(ISNUMBER(FIND("@",$E272)),ISNUMBER(FIND(".",$E272,FIND("@",$E272)))),"ok","revisar"))</f>
        <v/>
      </c>
      <c r="G272" s="30"/>
      <c r="H272" s="30"/>
      <c r="I272" s="31"/>
      <c r="J272" s="30"/>
      <c r="K272" s="29"/>
      <c r="L272" s="30"/>
      <c r="M272" s="30"/>
    </row>
    <row r="273" customFormat="false" ht="15" hidden="false" customHeight="false" outlineLevel="0" collapsed="false">
      <c r="A273" s="29"/>
      <c r="B273" s="30"/>
      <c r="C273" s="30"/>
      <c r="D273" s="30"/>
      <c r="E273" s="30"/>
      <c r="F273" s="28" t="str">
        <f aca="false">IF($E273="","",IF(AND(ISNUMBER(FIND("@",$E273)),ISNUMBER(FIND(".",$E273,FIND("@",$E273)))),"ok","revisar"))</f>
        <v/>
      </c>
      <c r="G273" s="30"/>
      <c r="H273" s="30"/>
      <c r="I273" s="31"/>
      <c r="J273" s="30"/>
      <c r="K273" s="29"/>
      <c r="L273" s="30"/>
      <c r="M273" s="30"/>
    </row>
    <row r="274" customFormat="false" ht="15" hidden="false" customHeight="false" outlineLevel="0" collapsed="false">
      <c r="A274" s="29"/>
      <c r="B274" s="30"/>
      <c r="C274" s="30"/>
      <c r="D274" s="30"/>
      <c r="E274" s="30"/>
      <c r="F274" s="28" t="str">
        <f aca="false">IF($E274="","",IF(AND(ISNUMBER(FIND("@",$E274)),ISNUMBER(FIND(".",$E274,FIND("@",$E274)))),"ok","revisar"))</f>
        <v/>
      </c>
      <c r="G274" s="30"/>
      <c r="H274" s="30"/>
      <c r="I274" s="31"/>
      <c r="J274" s="30"/>
      <c r="K274" s="29"/>
      <c r="L274" s="30"/>
      <c r="M274" s="30"/>
    </row>
    <row r="275" customFormat="false" ht="15" hidden="false" customHeight="false" outlineLevel="0" collapsed="false">
      <c r="A275" s="29"/>
      <c r="B275" s="30"/>
      <c r="C275" s="30"/>
      <c r="D275" s="30"/>
      <c r="E275" s="30"/>
      <c r="F275" s="28" t="str">
        <f aca="false">IF($E275="","",IF(AND(ISNUMBER(FIND("@",$E275)),ISNUMBER(FIND(".",$E275,FIND("@",$E275)))),"ok","revisar"))</f>
        <v/>
      </c>
      <c r="G275" s="30"/>
      <c r="H275" s="30"/>
      <c r="I275" s="31"/>
      <c r="J275" s="30"/>
      <c r="K275" s="29"/>
      <c r="L275" s="30"/>
      <c r="M275" s="30"/>
    </row>
    <row r="276" customFormat="false" ht="15" hidden="false" customHeight="false" outlineLevel="0" collapsed="false">
      <c r="A276" s="29"/>
      <c r="B276" s="30"/>
      <c r="C276" s="30"/>
      <c r="D276" s="30"/>
      <c r="E276" s="30"/>
      <c r="F276" s="28" t="str">
        <f aca="false">IF($E276="","",IF(AND(ISNUMBER(FIND("@",$E276)),ISNUMBER(FIND(".",$E276,FIND("@",$E276)))),"ok","revisar"))</f>
        <v/>
      </c>
      <c r="G276" s="30"/>
      <c r="H276" s="30"/>
      <c r="I276" s="31"/>
      <c r="J276" s="30"/>
      <c r="K276" s="29"/>
      <c r="L276" s="30"/>
      <c r="M276" s="30"/>
    </row>
    <row r="277" customFormat="false" ht="15" hidden="false" customHeight="false" outlineLevel="0" collapsed="false">
      <c r="A277" s="29"/>
      <c r="B277" s="30"/>
      <c r="C277" s="30"/>
      <c r="D277" s="30"/>
      <c r="E277" s="30"/>
      <c r="F277" s="28" t="str">
        <f aca="false">IF($E277="","",IF(AND(ISNUMBER(FIND("@",$E277)),ISNUMBER(FIND(".",$E277,FIND("@",$E277)))),"ok","revisar"))</f>
        <v/>
      </c>
      <c r="G277" s="30"/>
      <c r="H277" s="30"/>
      <c r="I277" s="31"/>
      <c r="J277" s="30"/>
      <c r="K277" s="29"/>
      <c r="L277" s="30"/>
      <c r="M277" s="30"/>
    </row>
    <row r="278" customFormat="false" ht="15" hidden="false" customHeight="false" outlineLevel="0" collapsed="false">
      <c r="A278" s="29"/>
      <c r="B278" s="30"/>
      <c r="C278" s="30"/>
      <c r="D278" s="30"/>
      <c r="E278" s="30"/>
      <c r="F278" s="28" t="str">
        <f aca="false">IF($E278="","",IF(AND(ISNUMBER(FIND("@",$E278)),ISNUMBER(FIND(".",$E278,FIND("@",$E278)))),"ok","revisar"))</f>
        <v/>
      </c>
      <c r="G278" s="30"/>
      <c r="H278" s="30"/>
      <c r="I278" s="31"/>
      <c r="J278" s="30"/>
      <c r="K278" s="29"/>
      <c r="L278" s="30"/>
      <c r="M278" s="30"/>
    </row>
    <row r="279" customFormat="false" ht="15" hidden="false" customHeight="false" outlineLevel="0" collapsed="false">
      <c r="A279" s="29"/>
      <c r="B279" s="30"/>
      <c r="C279" s="30"/>
      <c r="D279" s="30"/>
      <c r="E279" s="30"/>
      <c r="F279" s="28" t="str">
        <f aca="false">IF($E279="","",IF(AND(ISNUMBER(FIND("@",$E279)),ISNUMBER(FIND(".",$E279,FIND("@",$E279)))),"ok","revisar"))</f>
        <v/>
      </c>
      <c r="G279" s="30"/>
      <c r="H279" s="30"/>
      <c r="I279" s="31"/>
      <c r="J279" s="30"/>
      <c r="K279" s="29"/>
      <c r="L279" s="30"/>
      <c r="M279" s="30"/>
    </row>
    <row r="280" customFormat="false" ht="15" hidden="false" customHeight="false" outlineLevel="0" collapsed="false">
      <c r="A280" s="29"/>
      <c r="B280" s="30"/>
      <c r="C280" s="30"/>
      <c r="D280" s="30"/>
      <c r="E280" s="30"/>
      <c r="F280" s="28" t="str">
        <f aca="false">IF($E280="","",IF(AND(ISNUMBER(FIND("@",$E280)),ISNUMBER(FIND(".",$E280,FIND("@",$E280)))),"ok","revisar"))</f>
        <v/>
      </c>
      <c r="G280" s="30"/>
      <c r="H280" s="30"/>
      <c r="I280" s="31"/>
      <c r="J280" s="30"/>
      <c r="K280" s="29"/>
      <c r="L280" s="30"/>
      <c r="M280" s="30"/>
    </row>
    <row r="281" customFormat="false" ht="15" hidden="false" customHeight="false" outlineLevel="0" collapsed="false">
      <c r="A281" s="29"/>
      <c r="B281" s="30"/>
      <c r="C281" s="30"/>
      <c r="D281" s="30"/>
      <c r="E281" s="30"/>
      <c r="F281" s="28" t="str">
        <f aca="false">IF($E281="","",IF(AND(ISNUMBER(FIND("@",$E281)),ISNUMBER(FIND(".",$E281,FIND("@",$E281)))),"ok","revisar"))</f>
        <v/>
      </c>
      <c r="G281" s="30"/>
      <c r="H281" s="30"/>
      <c r="I281" s="31"/>
      <c r="J281" s="30"/>
      <c r="K281" s="29"/>
      <c r="L281" s="30"/>
      <c r="M281" s="30"/>
    </row>
    <row r="282" customFormat="false" ht="15" hidden="false" customHeight="false" outlineLevel="0" collapsed="false">
      <c r="A282" s="29"/>
      <c r="B282" s="30"/>
      <c r="C282" s="30"/>
      <c r="D282" s="30"/>
      <c r="E282" s="30"/>
      <c r="F282" s="28" t="str">
        <f aca="false">IF($E282="","",IF(AND(ISNUMBER(FIND("@",$E282)),ISNUMBER(FIND(".",$E282,FIND("@",$E282)))),"ok","revisar"))</f>
        <v/>
      </c>
      <c r="G282" s="30"/>
      <c r="H282" s="30"/>
      <c r="I282" s="31"/>
      <c r="J282" s="30"/>
      <c r="K282" s="29"/>
      <c r="L282" s="30"/>
      <c r="M282" s="30"/>
    </row>
    <row r="283" customFormat="false" ht="15" hidden="false" customHeight="false" outlineLevel="0" collapsed="false">
      <c r="A283" s="29"/>
      <c r="B283" s="30"/>
      <c r="C283" s="30"/>
      <c r="D283" s="30"/>
      <c r="E283" s="30"/>
      <c r="F283" s="28" t="str">
        <f aca="false">IF($E283="","",IF(AND(ISNUMBER(FIND("@",$E283)),ISNUMBER(FIND(".",$E283,FIND("@",$E283)))),"ok","revisar"))</f>
        <v/>
      </c>
      <c r="G283" s="30"/>
      <c r="H283" s="30"/>
      <c r="I283" s="31"/>
      <c r="J283" s="30"/>
      <c r="K283" s="29"/>
      <c r="L283" s="30"/>
      <c r="M283" s="30"/>
    </row>
    <row r="284" customFormat="false" ht="15" hidden="false" customHeight="false" outlineLevel="0" collapsed="false">
      <c r="A284" s="29"/>
      <c r="B284" s="30"/>
      <c r="C284" s="30"/>
      <c r="D284" s="30"/>
      <c r="E284" s="30"/>
      <c r="F284" s="28" t="str">
        <f aca="false">IF($E284="","",IF(AND(ISNUMBER(FIND("@",$E284)),ISNUMBER(FIND(".",$E284,FIND("@",$E284)))),"ok","revisar"))</f>
        <v/>
      </c>
      <c r="G284" s="30"/>
      <c r="H284" s="30"/>
      <c r="I284" s="31"/>
      <c r="J284" s="30"/>
      <c r="K284" s="29"/>
      <c r="L284" s="30"/>
      <c r="M284" s="30"/>
    </row>
    <row r="285" customFormat="false" ht="15" hidden="false" customHeight="false" outlineLevel="0" collapsed="false">
      <c r="A285" s="29"/>
      <c r="B285" s="30"/>
      <c r="C285" s="30"/>
      <c r="D285" s="30"/>
      <c r="E285" s="30"/>
      <c r="F285" s="28" t="str">
        <f aca="false">IF($E285="","",IF(AND(ISNUMBER(FIND("@",$E285)),ISNUMBER(FIND(".",$E285,FIND("@",$E285)))),"ok","revisar"))</f>
        <v/>
      </c>
      <c r="G285" s="30"/>
      <c r="H285" s="30"/>
      <c r="I285" s="31"/>
      <c r="J285" s="30"/>
      <c r="K285" s="29"/>
      <c r="L285" s="30"/>
      <c r="M285" s="30"/>
    </row>
    <row r="286" customFormat="false" ht="15" hidden="false" customHeight="false" outlineLevel="0" collapsed="false">
      <c r="A286" s="29"/>
      <c r="B286" s="30"/>
      <c r="C286" s="30"/>
      <c r="D286" s="30"/>
      <c r="E286" s="30"/>
      <c r="F286" s="28" t="str">
        <f aca="false">IF($E286="","",IF(AND(ISNUMBER(FIND("@",$E286)),ISNUMBER(FIND(".",$E286,FIND("@",$E286)))),"ok","revisar"))</f>
        <v/>
      </c>
      <c r="G286" s="30"/>
      <c r="H286" s="30"/>
      <c r="I286" s="31"/>
      <c r="J286" s="30"/>
      <c r="K286" s="29"/>
      <c r="L286" s="30"/>
      <c r="M286" s="30"/>
    </row>
    <row r="287" customFormat="false" ht="15" hidden="false" customHeight="false" outlineLevel="0" collapsed="false">
      <c r="A287" s="29"/>
      <c r="B287" s="30"/>
      <c r="C287" s="30"/>
      <c r="D287" s="30"/>
      <c r="E287" s="30"/>
      <c r="F287" s="28" t="str">
        <f aca="false">IF($E287="","",IF(AND(ISNUMBER(FIND("@",$E287)),ISNUMBER(FIND(".",$E287,FIND("@",$E287)))),"ok","revisar"))</f>
        <v/>
      </c>
      <c r="G287" s="30"/>
      <c r="H287" s="30"/>
      <c r="I287" s="31"/>
      <c r="J287" s="30"/>
      <c r="K287" s="29"/>
      <c r="L287" s="30"/>
      <c r="M287" s="30"/>
    </row>
    <row r="288" customFormat="false" ht="15" hidden="false" customHeight="false" outlineLevel="0" collapsed="false">
      <c r="A288" s="29"/>
      <c r="B288" s="30"/>
      <c r="C288" s="30"/>
      <c r="D288" s="30"/>
      <c r="E288" s="30"/>
      <c r="F288" s="28" t="str">
        <f aca="false">IF($E288="","",IF(AND(ISNUMBER(FIND("@",$E288)),ISNUMBER(FIND(".",$E288,FIND("@",$E288)))),"ok","revisar"))</f>
        <v/>
      </c>
      <c r="G288" s="30"/>
      <c r="H288" s="30"/>
      <c r="I288" s="31"/>
      <c r="J288" s="30"/>
      <c r="K288" s="29"/>
      <c r="L288" s="30"/>
      <c r="M288" s="30"/>
    </row>
    <row r="289" customFormat="false" ht="15" hidden="false" customHeight="false" outlineLevel="0" collapsed="false">
      <c r="A289" s="29"/>
      <c r="B289" s="30"/>
      <c r="C289" s="30"/>
      <c r="D289" s="30"/>
      <c r="E289" s="30"/>
      <c r="F289" s="28" t="str">
        <f aca="false">IF($E289="","",IF(AND(ISNUMBER(FIND("@",$E289)),ISNUMBER(FIND(".",$E289,FIND("@",$E289)))),"ok","revisar"))</f>
        <v/>
      </c>
      <c r="G289" s="30"/>
      <c r="H289" s="30"/>
      <c r="I289" s="31"/>
      <c r="J289" s="30"/>
      <c r="K289" s="29"/>
      <c r="L289" s="30"/>
      <c r="M289" s="30"/>
    </row>
    <row r="290" customFormat="false" ht="15" hidden="false" customHeight="false" outlineLevel="0" collapsed="false">
      <c r="A290" s="29"/>
      <c r="B290" s="30"/>
      <c r="C290" s="30"/>
      <c r="D290" s="30"/>
      <c r="E290" s="30"/>
      <c r="F290" s="28" t="str">
        <f aca="false">IF($E290="","",IF(AND(ISNUMBER(FIND("@",$E290)),ISNUMBER(FIND(".",$E290,FIND("@",$E290)))),"ok","revisar"))</f>
        <v/>
      </c>
      <c r="G290" s="30"/>
      <c r="H290" s="30"/>
      <c r="I290" s="31"/>
      <c r="J290" s="30"/>
      <c r="K290" s="29"/>
      <c r="L290" s="30"/>
      <c r="M290" s="30"/>
    </row>
    <row r="291" customFormat="false" ht="15" hidden="false" customHeight="false" outlineLevel="0" collapsed="false">
      <c r="A291" s="29"/>
      <c r="B291" s="30"/>
      <c r="C291" s="30"/>
      <c r="D291" s="30"/>
      <c r="E291" s="30"/>
      <c r="F291" s="28" t="str">
        <f aca="false">IF($E291="","",IF(AND(ISNUMBER(FIND("@",$E291)),ISNUMBER(FIND(".",$E291,FIND("@",$E291)))),"ok","revisar"))</f>
        <v/>
      </c>
      <c r="G291" s="30"/>
      <c r="H291" s="30"/>
      <c r="I291" s="31"/>
      <c r="J291" s="30"/>
      <c r="K291" s="29"/>
      <c r="L291" s="30"/>
      <c r="M291" s="30"/>
    </row>
    <row r="292" customFormat="false" ht="15" hidden="false" customHeight="false" outlineLevel="0" collapsed="false">
      <c r="A292" s="29"/>
      <c r="B292" s="30"/>
      <c r="C292" s="30"/>
      <c r="D292" s="30"/>
      <c r="E292" s="30"/>
      <c r="F292" s="28" t="str">
        <f aca="false">IF($E292="","",IF(AND(ISNUMBER(FIND("@",$E292)),ISNUMBER(FIND(".",$E292,FIND("@",$E292)))),"ok","revisar"))</f>
        <v/>
      </c>
      <c r="G292" s="30"/>
      <c r="H292" s="30"/>
      <c r="I292" s="31"/>
      <c r="J292" s="30"/>
      <c r="K292" s="29"/>
      <c r="L292" s="30"/>
      <c r="M292" s="30"/>
    </row>
    <row r="293" customFormat="false" ht="15" hidden="false" customHeight="false" outlineLevel="0" collapsed="false">
      <c r="A293" s="29"/>
      <c r="B293" s="30"/>
      <c r="C293" s="30"/>
      <c r="D293" s="30"/>
      <c r="E293" s="30"/>
      <c r="F293" s="28" t="str">
        <f aca="false">IF($E293="","",IF(AND(ISNUMBER(FIND("@",$E293)),ISNUMBER(FIND(".",$E293,FIND("@",$E293)))),"ok","revisar"))</f>
        <v/>
      </c>
      <c r="G293" s="30"/>
      <c r="H293" s="30"/>
      <c r="I293" s="31"/>
      <c r="J293" s="30"/>
      <c r="K293" s="29"/>
      <c r="L293" s="30"/>
      <c r="M293" s="30"/>
    </row>
    <row r="294" customFormat="false" ht="15" hidden="false" customHeight="false" outlineLevel="0" collapsed="false">
      <c r="A294" s="29"/>
      <c r="B294" s="30"/>
      <c r="C294" s="30"/>
      <c r="D294" s="30"/>
      <c r="E294" s="30"/>
      <c r="F294" s="28" t="str">
        <f aca="false">IF($E294="","",IF(AND(ISNUMBER(FIND("@",$E294)),ISNUMBER(FIND(".",$E294,FIND("@",$E294)))),"ok","revisar"))</f>
        <v/>
      </c>
      <c r="G294" s="30"/>
      <c r="H294" s="30"/>
      <c r="I294" s="31"/>
      <c r="J294" s="30"/>
      <c r="K294" s="29"/>
      <c r="L294" s="30"/>
      <c r="M294" s="30"/>
    </row>
    <row r="295" customFormat="false" ht="15" hidden="false" customHeight="false" outlineLevel="0" collapsed="false">
      <c r="A295" s="29"/>
      <c r="B295" s="30"/>
      <c r="C295" s="30"/>
      <c r="D295" s="30"/>
      <c r="E295" s="30"/>
      <c r="F295" s="28" t="str">
        <f aca="false">IF($E295="","",IF(AND(ISNUMBER(FIND("@",$E295)),ISNUMBER(FIND(".",$E295,FIND("@",$E295)))),"ok","revisar"))</f>
        <v/>
      </c>
      <c r="G295" s="30"/>
      <c r="H295" s="30"/>
      <c r="I295" s="31"/>
      <c r="J295" s="30"/>
      <c r="K295" s="29"/>
      <c r="L295" s="30"/>
      <c r="M295" s="30"/>
    </row>
    <row r="296" customFormat="false" ht="15" hidden="false" customHeight="false" outlineLevel="0" collapsed="false">
      <c r="A296" s="29"/>
      <c r="B296" s="30"/>
      <c r="C296" s="30"/>
      <c r="D296" s="30"/>
      <c r="E296" s="30"/>
      <c r="F296" s="28" t="str">
        <f aca="false">IF($E296="","",IF(AND(ISNUMBER(FIND("@",$E296)),ISNUMBER(FIND(".",$E296,FIND("@",$E296)))),"ok","revisar"))</f>
        <v/>
      </c>
      <c r="G296" s="30"/>
      <c r="H296" s="30"/>
      <c r="I296" s="31"/>
      <c r="J296" s="30"/>
      <c r="K296" s="29"/>
      <c r="L296" s="30"/>
      <c r="M296" s="30"/>
    </row>
    <row r="297" customFormat="false" ht="15" hidden="false" customHeight="false" outlineLevel="0" collapsed="false">
      <c r="A297" s="29"/>
      <c r="B297" s="30"/>
      <c r="C297" s="30"/>
      <c r="D297" s="30"/>
      <c r="E297" s="30"/>
      <c r="F297" s="28" t="str">
        <f aca="false">IF($E297="","",IF(AND(ISNUMBER(FIND("@",$E297)),ISNUMBER(FIND(".",$E297,FIND("@",$E297)))),"ok","revisar"))</f>
        <v/>
      </c>
      <c r="G297" s="30"/>
      <c r="H297" s="30"/>
      <c r="I297" s="31"/>
      <c r="J297" s="30"/>
      <c r="K297" s="29"/>
      <c r="L297" s="30"/>
      <c r="M297" s="30"/>
    </row>
    <row r="298" customFormat="false" ht="15" hidden="false" customHeight="false" outlineLevel="0" collapsed="false">
      <c r="A298" s="29"/>
      <c r="B298" s="30"/>
      <c r="C298" s="30"/>
      <c r="D298" s="30"/>
      <c r="E298" s="30"/>
      <c r="F298" s="28" t="str">
        <f aca="false">IF($E298="","",IF(AND(ISNUMBER(FIND("@",$E298)),ISNUMBER(FIND(".",$E298,FIND("@",$E298)))),"ok","revisar"))</f>
        <v/>
      </c>
      <c r="G298" s="30"/>
      <c r="H298" s="30"/>
      <c r="I298" s="31"/>
      <c r="J298" s="30"/>
      <c r="K298" s="29"/>
      <c r="L298" s="30"/>
      <c r="M298" s="30"/>
    </row>
    <row r="299" customFormat="false" ht="15" hidden="false" customHeight="false" outlineLevel="0" collapsed="false">
      <c r="A299" s="29"/>
      <c r="B299" s="30"/>
      <c r="C299" s="30"/>
      <c r="D299" s="30"/>
      <c r="E299" s="30"/>
      <c r="F299" s="28" t="str">
        <f aca="false">IF($E299="","",IF(AND(ISNUMBER(FIND("@",$E299)),ISNUMBER(FIND(".",$E299,FIND("@",$E299)))),"ok","revisar"))</f>
        <v/>
      </c>
      <c r="G299" s="30"/>
      <c r="H299" s="30"/>
      <c r="I299" s="31"/>
      <c r="J299" s="30"/>
      <c r="K299" s="29"/>
      <c r="L299" s="30"/>
      <c r="M299" s="30"/>
    </row>
    <row r="300" customFormat="false" ht="15" hidden="false" customHeight="false" outlineLevel="0" collapsed="false">
      <c r="A300" s="29"/>
      <c r="B300" s="30"/>
      <c r="C300" s="30"/>
      <c r="D300" s="30"/>
      <c r="E300" s="30"/>
      <c r="F300" s="28" t="str">
        <f aca="false">IF($E300="","",IF(AND(ISNUMBER(FIND("@",$E300)),ISNUMBER(FIND(".",$E300,FIND("@",$E300)))),"ok","revisar"))</f>
        <v/>
      </c>
      <c r="G300" s="30"/>
      <c r="H300" s="30"/>
      <c r="I300" s="31"/>
      <c r="J300" s="30"/>
      <c r="K300" s="29"/>
      <c r="L300" s="30"/>
      <c r="M300" s="30"/>
    </row>
    <row r="301" customFormat="false" ht="15" hidden="false" customHeight="false" outlineLevel="0" collapsed="false">
      <c r="A301" s="29"/>
      <c r="B301" s="30"/>
      <c r="C301" s="30"/>
      <c r="D301" s="30"/>
      <c r="E301" s="30"/>
      <c r="F301" s="28" t="str">
        <f aca="false">IF($E301="","",IF(AND(ISNUMBER(FIND("@",$E301)),ISNUMBER(FIND(".",$E301,FIND("@",$E301)))),"ok","revisar"))</f>
        <v/>
      </c>
      <c r="G301" s="30"/>
      <c r="H301" s="30"/>
      <c r="I301" s="31"/>
      <c r="J301" s="30"/>
      <c r="K301" s="29"/>
      <c r="L301" s="30"/>
      <c r="M301" s="30"/>
    </row>
    <row r="302" customFormat="false" ht="15" hidden="false" customHeight="false" outlineLevel="0" collapsed="false">
      <c r="A302" s="29"/>
      <c r="B302" s="30"/>
      <c r="C302" s="30"/>
      <c r="D302" s="30"/>
      <c r="E302" s="30"/>
      <c r="F302" s="28" t="str">
        <f aca="false">IF($E302="","",IF(AND(ISNUMBER(FIND("@",$E302)),ISNUMBER(FIND(".",$E302,FIND("@",$E302)))),"ok","revisar"))</f>
        <v/>
      </c>
      <c r="G302" s="30"/>
      <c r="H302" s="30"/>
      <c r="I302" s="31"/>
      <c r="J302" s="30"/>
      <c r="K302" s="29"/>
      <c r="L302" s="30"/>
      <c r="M302" s="30"/>
    </row>
    <row r="303" customFormat="false" ht="15" hidden="false" customHeight="false" outlineLevel="0" collapsed="false">
      <c r="A303" s="29"/>
      <c r="B303" s="30"/>
      <c r="C303" s="30"/>
      <c r="D303" s="30"/>
      <c r="E303" s="30"/>
      <c r="F303" s="28" t="str">
        <f aca="false">IF($E303="","",IF(AND(ISNUMBER(FIND("@",$E303)),ISNUMBER(FIND(".",$E303,FIND("@",$E303)))),"ok","revisar"))</f>
        <v/>
      </c>
      <c r="G303" s="30"/>
      <c r="H303" s="30"/>
      <c r="I303" s="31"/>
      <c r="J303" s="30"/>
      <c r="K303" s="29"/>
      <c r="L303" s="30"/>
      <c r="M303" s="30"/>
    </row>
    <row r="304" customFormat="false" ht="15" hidden="false" customHeight="false" outlineLevel="0" collapsed="false">
      <c r="A304" s="29"/>
      <c r="B304" s="30"/>
      <c r="C304" s="30"/>
      <c r="D304" s="30"/>
      <c r="E304" s="30"/>
      <c r="F304" s="28" t="str">
        <f aca="false">IF($E304="","",IF(AND(ISNUMBER(FIND("@",$E304)),ISNUMBER(FIND(".",$E304,FIND("@",$E304)))),"ok","revisar"))</f>
        <v/>
      </c>
      <c r="G304" s="30"/>
      <c r="H304" s="30"/>
      <c r="I304" s="31"/>
      <c r="J304" s="30"/>
      <c r="K304" s="29"/>
      <c r="L304" s="30"/>
      <c r="M304" s="30"/>
    </row>
    <row r="305" customFormat="false" ht="15" hidden="false" customHeight="false" outlineLevel="0" collapsed="false">
      <c r="A305" s="29"/>
      <c r="B305" s="30"/>
      <c r="C305" s="30"/>
      <c r="D305" s="30"/>
      <c r="E305" s="30"/>
      <c r="F305" s="28" t="str">
        <f aca="false">IF($E305="","",IF(AND(ISNUMBER(FIND("@",$E305)),ISNUMBER(FIND(".",$E305,FIND("@",$E305)))),"ok","revisar"))</f>
        <v/>
      </c>
      <c r="G305" s="30"/>
      <c r="H305" s="30"/>
      <c r="I305" s="31"/>
      <c r="J305" s="30"/>
      <c r="K305" s="29"/>
      <c r="L305" s="30"/>
      <c r="M305" s="30"/>
    </row>
    <row r="306" customFormat="false" ht="15" hidden="false" customHeight="false" outlineLevel="0" collapsed="false">
      <c r="A306" s="29"/>
      <c r="B306" s="30"/>
      <c r="C306" s="30"/>
      <c r="D306" s="30"/>
      <c r="E306" s="30"/>
      <c r="F306" s="28" t="str">
        <f aca="false">IF($E306="","",IF(AND(ISNUMBER(FIND("@",$E306)),ISNUMBER(FIND(".",$E306,FIND("@",$E306)))),"ok","revisar"))</f>
        <v/>
      </c>
      <c r="G306" s="30"/>
      <c r="H306" s="30"/>
      <c r="I306" s="31"/>
      <c r="J306" s="30"/>
      <c r="K306" s="29"/>
      <c r="L306" s="30"/>
      <c r="M306" s="30"/>
    </row>
  </sheetData>
  <dataValidations count="3">
    <dataValidation allowBlank="true" errorStyle="stop" operator="between" showDropDown="false" showErrorMessage="false" showInputMessage="false" sqref="J7:J306" type="list">
      <formula1>"pendiente,enviado,rebotó,respondió,vendido,no"</formula1>
      <formula2>0</formula2>
    </dataValidation>
    <dataValidation allowBlank="true" errorStyle="stop" operator="between" showDropDown="false" showErrorMessage="false" showInputMessage="false" sqref="L7:L306" type="list">
      <formula1>"Sí,No"</formula1>
      <formula2>0</formula2>
    </dataValidation>
    <dataValidation allowBlank="true" errorStyle="stop" operator="between" showDropDown="false" showErrorMessage="false" showInputMessage="false" sqref="G7:G306" type="list">
      <formula1>"Ficha de Google,Sitio web,Instagram,Facebook,Referido,Otro"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2026-09-16T10:16:51Z</dcterms:created>
  <dc:creator>openpyxl</dc:creator>
  <dc:description/>
  <dc:language>en-US</dc:language>
  <cp:lastModifiedBy/>
  <dcterms:modified xsi:type="dcterms:W3CDTF">2026-09-16T10:56:00Z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