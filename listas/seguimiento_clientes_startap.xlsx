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Como usarlo" sheetId="2" state="visible" r:id="rId4"/>
    <sheet name="Resumen" sheetId="3" state="visible" r:id="rId5"/>
  </sheets>
  <definedNames>
    <definedName function="false" hidden="true" localSheetId="0" name="_xlnm._FilterDatabase" vbProcedure="false">Clientes!$A$1:$M$280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<sst xmlns="http://schemas.openxmlformats.org/spreadsheetml/2006/main" count="2274" uniqueCount="1046">
  <si>
    <t xml:space="preserve">Fecha</t>
  </si>
  <si>
    <t xml:space="preserve">Negocio</t>
  </si>
  <si>
    <t xml:space="preserve">Rubro</t>
  </si>
  <si>
    <t xml:space="preserve">Zona</t>
  </si>
  <si>
    <t xml:space="preserve">Resenas</t>
  </si>
  <si>
    <t xml:space="preserve">Estrellas</t>
  </si>
  <si>
    <t xml:space="preserve">Canal</t>
  </si>
  <si>
    <t xml:space="preserve">Contacto</t>
  </si>
  <si>
    <t xml:space="preserve">Estado</t>
  </si>
  <si>
    <t xml:space="preserve">Nota</t>
  </si>
  <si>
    <t xml:space="preserve">Dias desde registro</t>
  </si>
  <si>
    <t xml:space="preserve">Accion que toca</t>
  </si>
  <si>
    <t xml:space="preserve">Fecha del seguimiento</t>
  </si>
  <si>
    <t xml:space="preserve">2026-09-16</t>
  </si>
  <si>
    <t xml:space="preserve">Fonda El Vecino</t>
  </si>
  <si>
    <t xml:space="preserve">Fonda</t>
  </si>
  <si>
    <t xml:space="preserve">La Chorrera</t>
  </si>
  <si>
    <t xml:space="preserve">WhatsApp</t>
  </si>
  <si>
    <t xml:space="preserve">6490-2318</t>
  </si>
  <si>
    <t xml:space="preserve">pendiente</t>
  </si>
  <si>
    <t xml:space="preserve">top2 fondas 13/51</t>
  </si>
  <si>
    <t xml:space="preserve">Los Olivos Fonda</t>
  </si>
  <si>
    <t xml:space="preserve">6632-4207</t>
  </si>
  <si>
    <t xml:space="preserve">Fonda Mis Ángeles</t>
  </si>
  <si>
    <t xml:space="preserve">6819-9842</t>
  </si>
  <si>
    <t xml:space="preserve">Fonda donde Luis y Matias</t>
  </si>
  <si>
    <t xml:space="preserve">6388-6700</t>
  </si>
  <si>
    <t xml:space="preserve">contesta reseñas; top2 13/51</t>
  </si>
  <si>
    <t xml:space="preserve">Fonda Damiana</t>
  </si>
  <si>
    <t xml:space="preserve">6856-5394</t>
  </si>
  <si>
    <t xml:space="preserve">ficha sin reclamar</t>
  </si>
  <si>
    <t xml:space="preserve">Fonda Genin</t>
  </si>
  <si>
    <t xml:space="preserve">6742-6019</t>
  </si>
  <si>
    <t xml:space="preserve">Diabliko's restaurante</t>
  </si>
  <si>
    <t xml:space="preserve">Restaurante</t>
  </si>
  <si>
    <t xml:space="preserve">6075-0745</t>
  </si>
  <si>
    <t xml:space="preserve">top2 restaurantes 114/273</t>
  </si>
  <si>
    <t xml:space="preserve">DelyChoza</t>
  </si>
  <si>
    <t xml:space="preserve">6974-3347</t>
  </si>
  <si>
    <t xml:space="preserve">XILOKA</t>
  </si>
  <si>
    <t xml:space="preserve">Comida rápida</t>
  </si>
  <si>
    <t xml:space="preserve">6545-1152</t>
  </si>
  <si>
    <t xml:space="preserve">ficha marcada posible cierre</t>
  </si>
  <si>
    <t xml:space="preserve">RiQras Hechas con Amor</t>
  </si>
  <si>
    <t xml:space="preserve">6922-8108</t>
  </si>
  <si>
    <t xml:space="preserve">top2 comida rápida 207/397</t>
  </si>
  <si>
    <t xml:space="preserve">Delirios Zulianos</t>
  </si>
  <si>
    <t xml:space="preserve">6010-0077</t>
  </si>
  <si>
    <t xml:space="preserve">Fonda Anyie</t>
  </si>
  <si>
    <t xml:space="preserve">llamada</t>
  </si>
  <si>
    <t xml:space="preserve">254-4159</t>
  </si>
  <si>
    <t xml:space="preserve">llamar; ficha sin reclamar</t>
  </si>
  <si>
    <t xml:space="preserve">2026-09-22</t>
  </si>
  <si>
    <t xml:space="preserve">Con Toque Zuliano</t>
  </si>
  <si>
    <t xml:space="preserve">Venezolana</t>
  </si>
  <si>
    <t xml:space="preserve">6265-3743</t>
  </si>
  <si>
    <t xml:space="preserve">top2 restaurantes 114/2013</t>
  </si>
  <si>
    <t xml:space="preserve">Arepitas Q Chimba</t>
  </si>
  <si>
    <t xml:space="preserve">6449-0183</t>
  </si>
  <si>
    <t xml:space="preserve">respondio</t>
  </si>
  <si>
    <t xml:space="preserve">contesto 8:17am; visita acordada 6pm 22-09</t>
  </si>
  <si>
    <t xml:space="preserve">Las Arepas De Giova</t>
  </si>
  <si>
    <t xml:space="preserve">6092-8022</t>
  </si>
  <si>
    <t xml:space="preserve">top2 venezolana 42/1341</t>
  </si>
  <si>
    <t xml:space="preserve">Arepas La Dona</t>
  </si>
  <si>
    <t xml:space="preserve">Comida rapida</t>
  </si>
  <si>
    <t xml:space="preserve">6440-2994</t>
  </si>
  <si>
    <t xml:space="preserve">va a consultar con la duena; entrega startap 6pm 22-09, ofrecio demo en persona</t>
  </si>
  <si>
    <t xml:space="preserve">Fonda Delicias Kathyta</t>
  </si>
  <si>
    <t xml:space="preserve">6330-3003</t>
  </si>
  <si>
    <t xml:space="preserve">resenas de hace 4 anos; top2 fondas 13/51</t>
  </si>
  <si>
    <t xml:space="preserve">Fonda Alta Casa</t>
  </si>
  <si>
    <t xml:space="preserve">6807-2807</t>
  </si>
  <si>
    <t xml:space="preserve">vende por PedidosYa; top2 fondas 13/51</t>
  </si>
  <si>
    <t xml:space="preserve">Chop Chop Rest</t>
  </si>
  <si>
    <t xml:space="preserve">China</t>
  </si>
  <si>
    <t xml:space="preserve">6368-3828</t>
  </si>
  <si>
    <t xml:space="preserve">contesta resenas; top2 china 705/135</t>
  </si>
  <si>
    <t xml:space="preserve">WILDBURGER</t>
  </si>
  <si>
    <t xml:space="preserve">Hamburguesas</t>
  </si>
  <si>
    <t xml:space="preserve">6978-8992</t>
  </si>
  <si>
    <t xml:space="preserve">resenas viejas; top2 hamburguesas 3336/858</t>
  </si>
  <si>
    <t xml:space="preserve">FISH DEL OESTE</t>
  </si>
  <si>
    <t xml:space="preserve">Marisqueria</t>
  </si>
  <si>
    <t xml:space="preserve">6715-1318</t>
  </si>
  <si>
    <t xml:space="preserve">top2 marisquerias 147/161</t>
  </si>
  <si>
    <t xml:space="preserve">Cafe Studio</t>
  </si>
  <si>
    <t xml:space="preserve">Cafeteria</t>
  </si>
  <si>
    <t xml:space="preserve">6114-5774</t>
  </si>
  <si>
    <t xml:space="preserve">top1 cafeterias; detras 139/178</t>
  </si>
  <si>
    <t xml:space="preserve">Kathia la reina del pescado</t>
  </si>
  <si>
    <t xml:space="preserve">6707-5109</t>
  </si>
  <si>
    <t xml:space="preserve">contesta resenas; top2 147/161</t>
  </si>
  <si>
    <t xml:space="preserve">Artesana Pizzeria Costa Verde</t>
  </si>
  <si>
    <t xml:space="preserve">Pizzeria</t>
  </si>
  <si>
    <t xml:space="preserve">351-5381</t>
  </si>
  <si>
    <t xml:space="preserve">llamar; top2 pizzerias 82/1906</t>
  </si>
  <si>
    <t xml:space="preserve">Melissa Beauty Studio</t>
  </si>
  <si>
    <t xml:space="preserve">Centro de estetica</t>
  </si>
  <si>
    <t xml:space="preserve">Costa Verde (Plaza Central)</t>
  </si>
  <si>
    <t xml:space="preserve">6775-4806</t>
  </si>
  <si>
    <t xml:space="preserve">top2 centros estetica 57/51</t>
  </si>
  <si>
    <t xml:space="preserve">BEAUTY STOP SALON &amp; SPA</t>
  </si>
  <si>
    <t xml:space="preserve">Costa Verde</t>
  </si>
  <si>
    <t xml:space="preserve">246-2852</t>
  </si>
  <si>
    <t xml:space="preserve">llamar; top2 centros estetica 57/51</t>
  </si>
  <si>
    <t xml:space="preserve">Dulce Amor</t>
  </si>
  <si>
    <t xml:space="preserve">Pasteleria</t>
  </si>
  <si>
    <t xml:space="preserve">6471-4472</t>
  </si>
  <si>
    <t xml:space="preserve">numero nuevo, tanda reducida; top2 pastelerias 204/1478</t>
  </si>
  <si>
    <t xml:space="preserve">K'''mi Sushi</t>
  </si>
  <si>
    <t xml:space="preserve">Sushi</t>
  </si>
  <si>
    <t xml:space="preserve">6967-6655</t>
  </si>
  <si>
    <t xml:space="preserve">numero nuevo, tanda reducida; top2 sushi 4983/1810</t>
  </si>
  <si>
    <t xml:space="preserve">Shihan Sushi</t>
  </si>
  <si>
    <t xml:space="preserve">6189-2886</t>
  </si>
  <si>
    <t xml:space="preserve">numero nuevo, tanda reducida; resena de hace 4 anos; top2 sushi 4983/1810</t>
  </si>
  <si>
    <t xml:space="preserve">SABOR COLOMBIANO</t>
  </si>
  <si>
    <t xml:space="preserve">6710-5382</t>
  </si>
  <si>
    <t xml:space="preserve">numero nuevo, tanda reducida; top2 comida rapida 207/397</t>
  </si>
  <si>
    <t xml:space="preserve">Asadero Brasas Colombianas</t>
  </si>
  <si>
    <t xml:space="preserve">Restaurante colombiano</t>
  </si>
  <si>
    <t xml:space="preserve">6662-7970</t>
  </si>
  <si>
    <t xml:space="preserve">numero nuevo, tanda reducida; top2 restaurantes 114/273</t>
  </si>
  <si>
    <t xml:space="preserve">El Buen Sabor Fast Food</t>
  </si>
  <si>
    <t xml:space="preserve">6257-3824</t>
  </si>
  <si>
    <t xml:space="preserve">Pollo El Buen Sabor</t>
  </si>
  <si>
    <t xml:space="preserve">Comida dominicana</t>
  </si>
  <si>
    <t xml:space="preserve">6605-0182</t>
  </si>
  <si>
    <t xml:space="preserve">numero nuevo, tanda reducida; top2 pollo 160/158</t>
  </si>
  <si>
    <t xml:space="preserve">Ricky pollo</t>
  </si>
  <si>
    <t xml:space="preserve">Pollo</t>
  </si>
  <si>
    <t xml:space="preserve">6936-6867</t>
  </si>
  <si>
    <t xml:space="preserve">Empanadas 507</t>
  </si>
  <si>
    <t xml:space="preserve">Empanadas</t>
  </si>
  <si>
    <t xml:space="preserve">6963-8449</t>
  </si>
  <si>
    <t xml:space="preserve">numero nuevo, tanda reducida; top2 zona 2013/42</t>
  </si>
  <si>
    <t xml:space="preserve">Ceviches El Capi</t>
  </si>
  <si>
    <t xml:space="preserve">Ceviche</t>
  </si>
  <si>
    <t xml:space="preserve">6732-3029</t>
  </si>
  <si>
    <t xml:space="preserve">numero nuevo, tanda reducida; abierto 24h; top2 ceviche 206/147</t>
  </si>
  <si>
    <t xml:space="preserve">2026-09-23</t>
  </si>
  <si>
    <t xml:space="preserve">El Fogon de La Abuela</t>
  </si>
  <si>
    <t xml:space="preserve">Desayunos</t>
  </si>
  <si>
    <t xml:space="preserve">6779-8322</t>
  </si>
  <si>
    <t xml:space="preserve">top2 desayunos 139/515</t>
  </si>
  <si>
    <t xml:space="preserve">El Mastranto Breakfast</t>
  </si>
  <si>
    <t xml:space="preserve">6298-7852</t>
  </si>
  <si>
    <t xml:space="preserve">Natos Tacos &amp; Grill</t>
  </si>
  <si>
    <t xml:space="preserve">Mexicana</t>
  </si>
  <si>
    <t xml:space="preserve">6160-3552</t>
  </si>
  <si>
    <t xml:space="preserve">top2 mexicana 177/109</t>
  </si>
  <si>
    <t xml:space="preserve">EL TORITO GRILL</t>
  </si>
  <si>
    <t xml:space="preserve">Parrilla</t>
  </si>
  <si>
    <t xml:space="preserve">6161-8450</t>
  </si>
  <si>
    <t xml:space="preserve">top2 parrilla 549/337</t>
  </si>
  <si>
    <t xml:space="preserve">Brasa Latina El Chorro</t>
  </si>
  <si>
    <t xml:space="preserve">La Chorrera (El Chorro)</t>
  </si>
  <si>
    <t xml:space="preserve">6780-6368</t>
  </si>
  <si>
    <t xml:space="preserve">no</t>
  </si>
  <si>
    <t xml:space="preserve">dueno de 10+ locales; cerro por precio, compara con etiquetas de Temu a $5</t>
  </si>
  <si>
    <t xml:space="preserve">Panaderia MR. Baker</t>
  </si>
  <si>
    <t xml:space="preserve">Panaderia</t>
  </si>
  <si>
    <t xml:space="preserve">6075-0736</t>
  </si>
  <si>
    <t xml:space="preserve">autorespuesta; pasaron contacto de Elkin Andres 6831-4965</t>
  </si>
  <si>
    <t xml:space="preserve">Cooltura Panama</t>
  </si>
  <si>
    <t xml:space="preserve">Heladeria</t>
  </si>
  <si>
    <t xml:space="preserve">6863-3627</t>
  </si>
  <si>
    <t xml:space="preserve">contesto solo con un signo de interrogacion</t>
  </si>
  <si>
    <t xml:space="preserve">Humo Panama La Chorrera</t>
  </si>
  <si>
    <t xml:space="preserve">Comida tipica</t>
  </si>
  <si>
    <t xml:space="preserve">6766-4774</t>
  </si>
  <si>
    <t xml:space="preserve">top2 tipica 55/327</t>
  </si>
  <si>
    <t xml:space="preserve">Fonda El Achiote</t>
  </si>
  <si>
    <t xml:space="preserve">6635-7694</t>
  </si>
  <si>
    <t xml:space="preserve">nueva ubicacion; top2 fondas 13/51</t>
  </si>
  <si>
    <t xml:space="preserve">Fonda David</t>
  </si>
  <si>
    <t xml:space="preserve">6390-4515</t>
  </si>
  <si>
    <t xml:space="preserve">Fonda Tuty</t>
  </si>
  <si>
    <t xml:space="preserve">6622-9071</t>
  </si>
  <si>
    <t xml:space="preserve">Happy Yico</t>
  </si>
  <si>
    <t xml:space="preserve">258-7165</t>
  </si>
  <si>
    <t xml:space="preserve">llamar; lideres heladeria 880/837</t>
  </si>
  <si>
    <t xml:space="preserve">2026-09-24</t>
  </si>
  <si>
    <t xml:space="preserve">TALLER DE MECANICA ADAMES</t>
  </si>
  <si>
    <t xml:space="preserve">Taller mecanico</t>
  </si>
  <si>
    <t xml:space="preserve">Arraijan</t>
  </si>
  <si>
    <t xml:space="preserve">6619-0479</t>
  </si>
  <si>
    <t xml:space="preserve">contesto 10:46am; 5 autos/dia lun-sab, 8-10 en semana baja; atiende el mismo con tecnicos; entendio que era software de control de numeros y dijo que ya tiene sistema; se aclaro y se le paso la url</t>
  </si>
  <si>
    <t xml:space="preserve">Taller de Electromecanica Figueroa</t>
  </si>
  <si>
    <t xml:space="preserve">Electromecanica</t>
  </si>
  <si>
    <t xml:space="preserve">6525-2519</t>
  </si>
  <si>
    <t xml:space="preserve">abierto 24h; top2 24/73</t>
  </si>
  <si>
    <t xml:space="preserve">Taller Daniel</t>
  </si>
  <si>
    <t xml:space="preserve">6504-6067</t>
  </si>
  <si>
    <t xml:space="preserve">top2 talleres Arraijan 24/73</t>
  </si>
  <si>
    <t xml:space="preserve">JAPP Custom Power</t>
  </si>
  <si>
    <t xml:space="preserve">6495-2054</t>
  </si>
  <si>
    <t xml:space="preserve">autorespuesta del negocio; falta hablar con persona</t>
  </si>
  <si>
    <t xml:space="preserve">Clarence Car Services</t>
  </si>
  <si>
    <t xml:space="preserve">6267-2667</t>
  </si>
  <si>
    <t xml:space="preserve">Taller Santamaria Burunga</t>
  </si>
  <si>
    <t xml:space="preserve">Burunga (Arraijan)</t>
  </si>
  <si>
    <t xml:space="preserve">6587-5933</t>
  </si>
  <si>
    <t xml:space="preserve">AUTO SERVICIOS MILLAS</t>
  </si>
  <si>
    <t xml:space="preserve">6883-4873</t>
  </si>
  <si>
    <t xml:space="preserve">top1 de su busqueda; segundo 143</t>
  </si>
  <si>
    <t xml:space="preserve">Julio Chirinos Mecanico</t>
  </si>
  <si>
    <t xml:space="preserve">6165-5317</t>
  </si>
  <si>
    <t xml:space="preserve">top2 talleres Chorrera 15/143</t>
  </si>
  <si>
    <t xml:space="preserve">West Car PTY</t>
  </si>
  <si>
    <t xml:space="preserve">Chapisteria</t>
  </si>
  <si>
    <t xml:space="preserve">6914-5912</t>
  </si>
  <si>
    <t xml:space="preserve">top2 chapisteria 23/150</t>
  </si>
  <si>
    <t xml:space="preserve">Hosanna Quality Shop</t>
  </si>
  <si>
    <t xml:space="preserve">Panama Oeste</t>
  </si>
  <si>
    <t xml:space="preserve">6317-5024</t>
  </si>
  <si>
    <t xml:space="preserve">Taller de Chapisteria West Car Flow</t>
  </si>
  <si>
    <t xml:space="preserve">El Coco (La Chorrera)</t>
  </si>
  <si>
    <t xml:space="preserve">6318-0300</t>
  </si>
  <si>
    <t xml:space="preserve">Taller Bonilla</t>
  </si>
  <si>
    <t xml:space="preserve">6592-9881</t>
  </si>
  <si>
    <t xml:space="preserve">cierra 7pm; top2 23/150</t>
  </si>
  <si>
    <t xml:space="preserve">Taller Fragua Plus</t>
  </si>
  <si>
    <t xml:space="preserve">6699-2581</t>
  </si>
  <si>
    <t xml:space="preserve">AUTO TALLER ASHDECK</t>
  </si>
  <si>
    <t xml:space="preserve">6383-2097</t>
  </si>
  <si>
    <t xml:space="preserve">Taller de Chapisteria y Mecanica 0 Kilometro</t>
  </si>
  <si>
    <t xml:space="preserve">Chapisteria y mecanica</t>
  </si>
  <si>
    <t xml:space="preserve">6234-9609</t>
  </si>
  <si>
    <t xml:space="preserve">Top Luxor Autos</t>
  </si>
  <si>
    <t xml:space="preserve">343-0550</t>
  </si>
  <si>
    <t xml:space="preserve">llamar; top2 24/73</t>
  </si>
  <si>
    <t xml:space="preserve">Auto Servicio Delgado S.A.</t>
  </si>
  <si>
    <t xml:space="preserve">253-2522</t>
  </si>
  <si>
    <t xml:space="preserve">llamar; top2 15/143</t>
  </si>
  <si>
    <t xml:space="preserve">Taller de Diagnostico Automotriz S.A.</t>
  </si>
  <si>
    <t xml:space="preserve">344-9756</t>
  </si>
  <si>
    <t xml:space="preserve">2026-09-25</t>
  </si>
  <si>
    <t xml:space="preserve">Casa Chorrerana N. 2</t>
  </si>
  <si>
    <t xml:space="preserve">Ferreteria</t>
  </si>
  <si>
    <t xml:space="preserve">6934-7221</t>
  </si>
  <si>
    <t xml:space="preserve">vendedor 1; top2 ferreterias 140/101</t>
  </si>
  <si>
    <t xml:space="preserve">Centro Materiales</t>
  </si>
  <si>
    <t xml:space="preserve">La Chorrera (Santa Elena)</t>
  </si>
  <si>
    <t xml:space="preserve">6566-5599</t>
  </si>
  <si>
    <t xml:space="preserve">Phone Accessories</t>
  </si>
  <si>
    <t xml:space="preserve">Celulares</t>
  </si>
  <si>
    <t xml:space="preserve">6354-2990</t>
  </si>
  <si>
    <t xml:space="preserve">vendedor 1; top2 celulares 17/32</t>
  </si>
  <si>
    <t xml:space="preserve">Boutique China</t>
  </si>
  <si>
    <t xml:space="preserve">Tienda de ropa</t>
  </si>
  <si>
    <t xml:space="preserve">6369-6963</t>
  </si>
  <si>
    <t xml:space="preserve">vendedor 2; top2 boutiques 19/15</t>
  </si>
  <si>
    <t xml:space="preserve">Glamour Marce Boutique</t>
  </si>
  <si>
    <t xml:space="preserve">Boutique</t>
  </si>
  <si>
    <t xml:space="preserve">La Chorrera (Barrio Balboa)</t>
  </si>
  <si>
    <t xml:space="preserve">6812-6907</t>
  </si>
  <si>
    <t xml:space="preserve">Nicol's Boutique</t>
  </si>
  <si>
    <t xml:space="preserve">6314-0308</t>
  </si>
  <si>
    <t xml:space="preserve">vendedor 2; entrega a domicilio; top2 19/15</t>
  </si>
  <si>
    <t xml:space="preserve">Dreams and Flowers</t>
  </si>
  <si>
    <t xml:space="preserve">Floristeria</t>
  </si>
  <si>
    <t xml:space="preserve">La Chorrera (Maribel)</t>
  </si>
  <si>
    <t xml:space="preserve">6433-3670</t>
  </si>
  <si>
    <t xml:space="preserve">vendedor 2; cierra 10pm; top2 floristerias 507/27</t>
  </si>
  <si>
    <t xml:space="preserve">Celulares Oeste 2</t>
  </si>
  <si>
    <t xml:space="preserve">6502-7742</t>
  </si>
  <si>
    <t xml:space="preserve">vendedor 2; top1 de su busqueda, el segundo tiene 32</t>
  </si>
  <si>
    <t xml:space="preserve">RESIDENCIAL LA FUENTE</t>
  </si>
  <si>
    <t xml:space="preserve">Hospedaje</t>
  </si>
  <si>
    <t xml:space="preserve">258-6772</t>
  </si>
  <si>
    <t xml:space="preserve">llamar; top2 hoteles 374/238</t>
  </si>
  <si>
    <t xml:space="preserve">Mundo Floral</t>
  </si>
  <si>
    <t xml:space="preserve">350-2766</t>
  </si>
  <si>
    <t xml:space="preserve">llamar; top2 floristerias 507/27</t>
  </si>
  <si>
    <t xml:space="preserve">Rueda Clean Car Wash &amp; Llanteria</t>
  </si>
  <si>
    <t xml:space="preserve">Autolavado</t>
  </si>
  <si>
    <t xml:space="preserve">6520-9811</t>
  </si>
  <si>
    <t xml:space="preserve">vendedor 2 lote 2; cierra 10pm; top2 autolavados 57/80</t>
  </si>
  <si>
    <t xml:space="preserve">Royal Car Wash Chorrera</t>
  </si>
  <si>
    <t xml:space="preserve">6866-6552</t>
  </si>
  <si>
    <t xml:space="preserve">vendedor 2 lote 2; top2 autolavados 57/80</t>
  </si>
  <si>
    <t xml:space="preserve">Premium Carwash</t>
  </si>
  <si>
    <t xml:space="preserve">6199-4017</t>
  </si>
  <si>
    <t xml:space="preserve">vendedor 2 lote 2; cierra 11pm; top2 57/80</t>
  </si>
  <si>
    <t xml:space="preserve">Llanteria y Reparaciones XERA</t>
  </si>
  <si>
    <t xml:space="preserve">Llanteria</t>
  </si>
  <si>
    <t xml:space="preserve">6217-2531</t>
  </si>
  <si>
    <t xml:space="preserve">vendedor 2 lote 2; top1, el segundo tiene 43</t>
  </si>
  <si>
    <t xml:space="preserve">Reparaciones Morillo S.R</t>
  </si>
  <si>
    <t xml:space="preserve">6962-7499</t>
  </si>
  <si>
    <t xml:space="preserve">vendedor 2 lote 2; top2 llanterias 15/43</t>
  </si>
  <si>
    <t xml:space="preserve">Llanteria Grupo Russo</t>
  </si>
  <si>
    <t xml:space="preserve">6875-7274</t>
  </si>
  <si>
    <t xml:space="preserve">Tapizar Panama</t>
  </si>
  <si>
    <t xml:space="preserve">Tapiceria</t>
  </si>
  <si>
    <t xml:space="preserve">6314-4542</t>
  </si>
  <si>
    <t xml:space="preserve">vendedor 2 lote 2; citas en linea; top1 tapiceria 109</t>
  </si>
  <si>
    <t xml:space="preserve">CG Diseno y Publicidad</t>
  </si>
  <si>
    <t xml:space="preserve">Imprenta</t>
  </si>
  <si>
    <t xml:space="preserve">La Chorrera (Matuna)</t>
  </si>
  <si>
    <t xml:space="preserve">6016-7552</t>
  </si>
  <si>
    <t xml:space="preserve">vendedor 2 lote 2; top2 imprentas 26/94</t>
  </si>
  <si>
    <t xml:space="preserve">Mazgraphics</t>
  </si>
  <si>
    <t xml:space="preserve">Publicidad</t>
  </si>
  <si>
    <t xml:space="preserve">6220-8676</t>
  </si>
  <si>
    <t xml:space="preserve">vendedor 2 lote 2; tiene web; top2 26/94</t>
  </si>
  <si>
    <t xml:space="preserve">REM Medios Publicidad</t>
  </si>
  <si>
    <t xml:space="preserve">Rotulos</t>
  </si>
  <si>
    <t xml:space="preserve">6219-7698</t>
  </si>
  <si>
    <t xml:space="preserve">VISIONARTE</t>
  </si>
  <si>
    <t xml:space="preserve">6590-3653</t>
  </si>
  <si>
    <t xml:space="preserve">vendedor 2 lote 2; Plaza Fortune Center; top2 26/94</t>
  </si>
  <si>
    <t xml:space="preserve">Servillantas MON #1</t>
  </si>
  <si>
    <t xml:space="preserve">253-6102</t>
  </si>
  <si>
    <t xml:space="preserve">llamar; top2 llanterias 15/43</t>
  </si>
  <si>
    <t xml:space="preserve">Tapiceria Victor</t>
  </si>
  <si>
    <t xml:space="preserve">Tapiceria de autos</t>
  </si>
  <si>
    <t xml:space="preserve">244-0345</t>
  </si>
  <si>
    <t xml:space="preserve">llamar; top1 tapiceria 109</t>
  </si>
  <si>
    <t xml:space="preserve">Refrigeracion Isla</t>
  </si>
  <si>
    <t xml:space="preserve">Climatizacion</t>
  </si>
  <si>
    <t xml:space="preserve">6849-9170</t>
  </si>
  <si>
    <t xml:space="preserve">lote 3; lideres del rubro 86/56</t>
  </si>
  <si>
    <t xml:space="preserve">Auto Aire y Refrigeracion Arcelio</t>
  </si>
  <si>
    <t xml:space="preserve">Aire de autos</t>
  </si>
  <si>
    <t xml:space="preserve">6486-3594</t>
  </si>
  <si>
    <t xml:space="preserve">lote 3; auxilio en carretera; lideres 86/56</t>
  </si>
  <si>
    <t xml:space="preserve">Tecnorefri</t>
  </si>
  <si>
    <t xml:space="preserve">Reparacion de neveras</t>
  </si>
  <si>
    <t xml:space="preserve">El Limon (La Chorrera)</t>
  </si>
  <si>
    <t xml:space="preserve">6638-4147</t>
  </si>
  <si>
    <t xml:space="preserve">MASTEC</t>
  </si>
  <si>
    <t xml:space="preserve">Aires y bombas de agua</t>
  </si>
  <si>
    <t xml:space="preserve">6816-2116</t>
  </si>
  <si>
    <t xml:space="preserve">lote 3; tiene web; lideres 86/56</t>
  </si>
  <si>
    <t xml:space="preserve">Optica Martinez Garcia</t>
  </si>
  <si>
    <t xml:space="preserve">Optica</t>
  </si>
  <si>
    <t xml:space="preserve">La Chorrera (Plaza Platinum)</t>
  </si>
  <si>
    <t xml:space="preserve">6861-0154</t>
  </si>
  <si>
    <t xml:space="preserve">lote 3; lideres opticas 152/124</t>
  </si>
  <si>
    <t xml:space="preserve">Dentis</t>
  </si>
  <si>
    <t xml:space="preserve">Clinica dental</t>
  </si>
  <si>
    <t xml:space="preserve">La Chorrera (Plaza Lee)</t>
  </si>
  <si>
    <t xml:space="preserve">6666-7499</t>
  </si>
  <si>
    <t xml:space="preserve">lote 3; lideres dentales 152/124</t>
  </si>
  <si>
    <t xml:space="preserve">Clinica Dental La Chorrera</t>
  </si>
  <si>
    <t xml:space="preserve">6488-0838</t>
  </si>
  <si>
    <t xml:space="preserve">lote 3; frente al Xtra; lideres 152/124</t>
  </si>
  <si>
    <t xml:space="preserve">Llavesolutions Panama</t>
  </si>
  <si>
    <t xml:space="preserve">Cerrajeria automotriz</t>
  </si>
  <si>
    <t xml:space="preserve">6355-3525</t>
  </si>
  <si>
    <t xml:space="preserve">lote 3; lider cerrajeria 86</t>
  </si>
  <si>
    <t xml:space="preserve">Escuela de Manejo Kairos</t>
  </si>
  <si>
    <t xml:space="preserve">Autoescuela</t>
  </si>
  <si>
    <t xml:space="preserve">345-7504</t>
  </si>
  <si>
    <t xml:space="preserve">llamar</t>
  </si>
  <si>
    <t xml:space="preserve">Clinica Dental La Vision</t>
  </si>
  <si>
    <t xml:space="preserve">258-8068</t>
  </si>
  <si>
    <t xml:space="preserve">2026-09-26</t>
  </si>
  <si>
    <t xml:space="preserve">Mary (negocio por confirmar)</t>
  </si>
  <si>
    <t xml:space="preserve">Por confirmar</t>
  </si>
  <si>
    <t xml:space="preserve">Visita sabado</t>
  </si>
  <si>
    <t xml:space="preserve">visita</t>
  </si>
  <si>
    <t xml:space="preserve">6916-8931</t>
  </si>
  <si>
    <t xml:space="preserve">el empleado paso el contacto del encargado 26-09; no hubo conversacion previa; falta saber el rubro</t>
  </si>
  <si>
    <t xml:space="preserve">Sin nombre</t>
  </si>
  <si>
    <t xml:space="preserve">6302-5460</t>
  </si>
  <si>
    <t xml:space="preserve">el empleado paso el contacto del encargado 26-09; no hubo conversacion previa; sin nombre ni rubro</t>
  </si>
  <si>
    <t xml:space="preserve">Jonas la Islas</t>
  </si>
  <si>
    <t xml:space="preserve">6347-6877</t>
  </si>
  <si>
    <t xml:space="preserve">el empleado paso el contacto del encargado 26-09; no hubo conversacion previa</t>
  </si>
  <si>
    <t xml:space="preserve">Suchi Expres (Fatima Guevara)</t>
  </si>
  <si>
    <t xml:space="preserve">Comida</t>
  </si>
  <si>
    <t xml:space="preserve">6579-5750</t>
  </si>
  <si>
    <t xml:space="preserve">franquicia, la decision no esta en el local; retomar solo si el encargado resulta dueno de ese local</t>
  </si>
  <si>
    <t xml:space="preserve">Privana</t>
  </si>
  <si>
    <t xml:space="preserve">6406-9577</t>
  </si>
  <si>
    <t xml:space="preserve">Quiro JYS</t>
  </si>
  <si>
    <t xml:space="preserve">anotado sin numero</t>
  </si>
  <si>
    <t xml:space="preserve">falta contacto; buscar en Maps</t>
  </si>
  <si>
    <t xml:space="preserve">Animal Clinic</t>
  </si>
  <si>
    <t xml:space="preserve">Veterinaria</t>
  </si>
  <si>
    <t xml:space="preserve">Laboratorio Ventus (Dainelis Rivera)</t>
  </si>
  <si>
    <t xml:space="preserve">Laboratorio</t>
  </si>
  <si>
    <t xml:space="preserve">correo</t>
  </si>
  <si>
    <t xml:space="preserve">dainelis-rivera@lavoratorioventus.com</t>
  </si>
  <si>
    <t xml:space="preserve">verificar dominio antes de escribir</t>
  </si>
  <si>
    <t xml:space="preserve">Unbox</t>
  </si>
  <si>
    <t xml:space="preserve">unboxadmn@gmail.com</t>
  </si>
  <si>
    <t xml:space="preserve">Jimmy Deporte</t>
  </si>
  <si>
    <t xml:space="preserve">Deportes</t>
  </si>
  <si>
    <t xml:space="preserve">retail@ y mercadeo@ (dominio ilegible en la foto)</t>
  </si>
  <si>
    <t xml:space="preserve">confirmar dominio con Jimmy antes de escribir</t>
  </si>
  <si>
    <t xml:space="preserve">Hombre de la Macha</t>
  </si>
  <si>
    <t xml:space="preserve">mercadeo@hombredelamacha.com</t>
  </si>
  <si>
    <t xml:space="preserve">Liszeth</t>
  </si>
  <si>
    <t xml:space="preserve">liszeths787@gmail.com</t>
  </si>
  <si>
    <t xml:space="preserve">2026-09-28</t>
  </si>
  <si>
    <t xml:space="preserve">Clinica Dr Candanedo</t>
  </si>
  <si>
    <t xml:space="preserve">6786-0431</t>
  </si>
  <si>
    <t xml:space="preserve">top2 dentales Arraijan 84/43</t>
  </si>
  <si>
    <t xml:space="preserve">Clinica Dental Arraijan Cabecera</t>
  </si>
  <si>
    <t xml:space="preserve">Arraijan Cabecera</t>
  </si>
  <si>
    <t xml:space="preserve">6594-1827</t>
  </si>
  <si>
    <t xml:space="preserve">equipo periapical; top2 84/43</t>
  </si>
  <si>
    <t xml:space="preserve">Clinica Dental Spa</t>
  </si>
  <si>
    <t xml:space="preserve">Vista Alegre (Arraijan)</t>
  </si>
  <si>
    <t xml:space="preserve">6444-4552</t>
  </si>
  <si>
    <t xml:space="preserve">correo dentalspavistalegre@gmail.com; top2 84/43</t>
  </si>
  <si>
    <t xml:space="preserve">Clinica Carvajal</t>
  </si>
  <si>
    <t xml:space="preserve">Clinica especializada</t>
  </si>
  <si>
    <t xml:space="preserve">Arraijan (Tatcher)</t>
  </si>
  <si>
    <t xml:space="preserve">6321-9041</t>
  </si>
  <si>
    <t xml:space="preserve">diagonal a la policlinica; top2 84/43</t>
  </si>
  <si>
    <t xml:space="preserve">OESTE VETS ARRAIJAN</t>
  </si>
  <si>
    <t xml:space="preserve">6920-1993</t>
  </si>
  <si>
    <t xml:space="preserve">top2 veterinarias 78/64</t>
  </si>
  <si>
    <t xml:space="preserve">Copytekpty</t>
  </si>
  <si>
    <t xml:space="preserve">Arraijan (Loma Coba)</t>
  </si>
  <si>
    <t xml:space="preserve">6778-0621</t>
  </si>
  <si>
    <t xml:space="preserve">tiene web; imprentas Oeste 26/94</t>
  </si>
  <si>
    <t xml:space="preserve">Strong Body Gym</t>
  </si>
  <si>
    <t xml:space="preserve">Gimnasio</t>
  </si>
  <si>
    <t xml:space="preserve">6936-9139</t>
  </si>
  <si>
    <t xml:space="preserve">cierra 10pm; top2 gimnasios 60/449</t>
  </si>
  <si>
    <t xml:space="preserve">Burunga Fitness Club</t>
  </si>
  <si>
    <t xml:space="preserve">6018-0588</t>
  </si>
  <si>
    <t xml:space="preserve">top2 gimnasios 60/449</t>
  </si>
  <si>
    <t xml:space="preserve">Silueta y Forma Gym</t>
  </si>
  <si>
    <t xml:space="preserve">6283-1440</t>
  </si>
  <si>
    <t xml:space="preserve">tiene web; top2 gimnasios 60/449</t>
  </si>
  <si>
    <t xml:space="preserve">Distribuidora Ahorro Arraijan</t>
  </si>
  <si>
    <t xml:space="preserve">Mayorista</t>
  </si>
  <si>
    <t xml:space="preserve">6780-0888</t>
  </si>
  <si>
    <t xml:space="preserve">top2 de su busqueda 567/253</t>
  </si>
  <si>
    <t xml:space="preserve">Consultorio Medico Panama</t>
  </si>
  <si>
    <t xml:space="preserve">Consultorio</t>
  </si>
  <si>
    <t xml:space="preserve">344-9264</t>
  </si>
  <si>
    <t xml:space="preserve">Medic &amp; Dental Center</t>
  </si>
  <si>
    <t xml:space="preserve">Nuevo Arraijan</t>
  </si>
  <si>
    <t xml:space="preserve">251-0650</t>
  </si>
  <si>
    <t xml:space="preserve">FCH Lavanderias</t>
  </si>
  <si>
    <t xml:space="preserve">Lavanderia</t>
  </si>
  <si>
    <t xml:space="preserve">Arraijan (La Paz)</t>
  </si>
  <si>
    <t xml:space="preserve">345-9365</t>
  </si>
  <si>
    <t xml:space="preserve">Barberia Eylin</t>
  </si>
  <si>
    <t xml:space="preserve">Barberia</t>
  </si>
  <si>
    <t xml:space="preserve">Arraijan (plaza central)</t>
  </si>
  <si>
    <t xml:space="preserve">6772-0055</t>
  </si>
  <si>
    <t xml:space="preserve">top2 barberias Arraijan 49/40</t>
  </si>
  <si>
    <t xml:space="preserve">MIMATHE Barber Y Salon</t>
  </si>
  <si>
    <t xml:space="preserve">Peluqueria</t>
  </si>
  <si>
    <t xml:space="preserve">6252-2635</t>
  </si>
  <si>
    <t xml:space="preserve">top2 barberias Arraijan 49/40; ficha sin reclamar; resenas de 3+ anos</t>
  </si>
  <si>
    <t xml:space="preserve">Barbero del West</t>
  </si>
  <si>
    <t xml:space="preserve">6209-0984</t>
  </si>
  <si>
    <t xml:space="preserve">top2 estetica Arraijan 40/24</t>
  </si>
  <si>
    <t xml:space="preserve">Barberia Que Estilo</t>
  </si>
  <si>
    <t xml:space="preserve">6849-1150</t>
  </si>
  <si>
    <t xml:space="preserve">Elite Barber Studio</t>
  </si>
  <si>
    <t xml:space="preserve">Parada La Estancia (Arraijan)</t>
  </si>
  <si>
    <t xml:space="preserve">6404-0590</t>
  </si>
  <si>
    <t xml:space="preserve">Barberia Maik</t>
  </si>
  <si>
    <t xml:space="preserve">6110-1229</t>
  </si>
  <si>
    <t xml:space="preserve">WEST COAST BARBER SHOP 507</t>
  </si>
  <si>
    <t xml:space="preserve">6094-4103</t>
  </si>
  <si>
    <t xml:space="preserve">lider de su busqueda 134; resenas de 5 anos; ficha sin reclamar</t>
  </si>
  <si>
    <t xml:space="preserve">Space Barber Shop</t>
  </si>
  <si>
    <t xml:space="preserve">Arraijan (plaza Lucky)</t>
  </si>
  <si>
    <t xml:space="preserve">6229-0606</t>
  </si>
  <si>
    <t xml:space="preserve">Barberia Ch.willy</t>
  </si>
  <si>
    <t xml:space="preserve">6055-4566</t>
  </si>
  <si>
    <t xml:space="preserve">top2 barberias Arraijan 49/40; clientes de anos</t>
  </si>
  <si>
    <t xml:space="preserve">Domini Barber Shop &amp; Salon</t>
  </si>
  <si>
    <t xml:space="preserve">6778-9996</t>
  </si>
  <si>
    <t xml:space="preserve">resenas de 7 anos; ficha sin reclamar; primero de la busqueda 49</t>
  </si>
  <si>
    <t xml:space="preserve">Barberia POCHITO Stilos</t>
  </si>
  <si>
    <t xml:space="preserve">6213-4515</t>
  </si>
  <si>
    <t xml:space="preserve">lider de su busqueda 134</t>
  </si>
  <si>
    <t xml:space="preserve">Sala De Belleza Y Barberia Elisa Salon</t>
  </si>
  <si>
    <t xml:space="preserve">344-2359</t>
  </si>
  <si>
    <t xml:space="preserve">llamar; top2 estetica Arraijan 40/24; ficha sin reclamar</t>
  </si>
  <si>
    <t xml:space="preserve">Beauty Salon Kids And Family</t>
  </si>
  <si>
    <t xml:space="preserve">Paseo Arraijan (Burunga)</t>
  </si>
  <si>
    <t xml:space="preserve">344-9950</t>
  </si>
  <si>
    <t xml:space="preserve">llamar; top2 estetica Arraijan 40/24; abierto 24h; ficha sin reclamar</t>
  </si>
  <si>
    <t xml:space="preserve">Xmotors Panama Oeste</t>
  </si>
  <si>
    <t xml:space="preserve">Repuestos de motos</t>
  </si>
  <si>
    <t xml:space="preserve">6488-4088</t>
  </si>
  <si>
    <t xml:space="preserve">vendedora; top1 de su busqueda, el segundo tiene 112</t>
  </si>
  <si>
    <t xml:space="preserve">ElectriMoto S.A</t>
  </si>
  <si>
    <t xml:space="preserve">6904-6551</t>
  </si>
  <si>
    <t xml:space="preserve">vendedora; top2 motos 13/112</t>
  </si>
  <si>
    <t xml:space="preserve">Duaca Bikes PTY</t>
  </si>
  <si>
    <t xml:space="preserve">6210-2382</t>
  </si>
  <si>
    <t xml:space="preserve">vendedora; cierra 10:30pm; top2 motos 13/112</t>
  </si>
  <si>
    <t xml:space="preserve">Casa de Materiales El Economico</t>
  </si>
  <si>
    <t xml:space="preserve">Materiales construccion</t>
  </si>
  <si>
    <t xml:space="preserve">Arraijan (Sector 7)</t>
  </si>
  <si>
    <t xml:space="preserve">6531-6886</t>
  </si>
  <si>
    <t xml:space="preserve">vendedora; top2 ferreterias Arraijan 71/52</t>
  </si>
  <si>
    <t xml:space="preserve">Ferreteria y Materiales Casa y Casa #2</t>
  </si>
  <si>
    <t xml:space="preserve">Altos de Nuevo Arraijan</t>
  </si>
  <si>
    <t xml:space="preserve">6778-6181</t>
  </si>
  <si>
    <t xml:space="preserve">vendedora; top2 ferreterias 71/52</t>
  </si>
  <si>
    <t xml:space="preserve">Bee Bright Panama Chorrera</t>
  </si>
  <si>
    <t xml:space="preserve">Guarderia</t>
  </si>
  <si>
    <t xml:space="preserve">Costa Verde (Green Plaza)</t>
  </si>
  <si>
    <t xml:space="preserve">6942-2949</t>
  </si>
  <si>
    <t xml:space="preserve">vendedora; tiene web; lideres educativos 32/32</t>
  </si>
  <si>
    <t xml:space="preserve">Centro Semillas del Saber</t>
  </si>
  <si>
    <t xml:space="preserve">Centro escolar</t>
  </si>
  <si>
    <t xml:space="preserve">Costa Verde (Fortune Center)</t>
  </si>
  <si>
    <t xml:space="preserve">6863-9769</t>
  </si>
  <si>
    <t xml:space="preserve">vendedora; lideres educativos 32/32</t>
  </si>
  <si>
    <t xml:space="preserve">Centro Infantil El Coco</t>
  </si>
  <si>
    <t xml:space="preserve">Preescolar</t>
  </si>
  <si>
    <t xml:space="preserve">6754-6418</t>
  </si>
  <si>
    <t xml:space="preserve">vendedora; tiene web; lideres 32/32</t>
  </si>
  <si>
    <t xml:space="preserve">R&amp;P Fotos y Eventos</t>
  </si>
  <si>
    <t xml:space="preserve">Fotografia</t>
  </si>
  <si>
    <t xml:space="preserve">6302-3167</t>
  </si>
  <si>
    <t xml:space="preserve">vendedora; top2 estudios 47/23</t>
  </si>
  <si>
    <t xml:space="preserve">Orquidarium Panama</t>
  </si>
  <si>
    <t xml:space="preserve">6950-3660</t>
  </si>
  <si>
    <t xml:space="preserve">vendedora; tiene web; lider floristeria 507</t>
  </si>
  <si>
    <t xml:space="preserve">Muebleria El Hogar</t>
  </si>
  <si>
    <t xml:space="preserve">Muebleria</t>
  </si>
  <si>
    <t xml:space="preserve">253-3282</t>
  </si>
  <si>
    <t xml:space="preserve">vendedora; llamar</t>
  </si>
  <si>
    <t xml:space="preserve">Magnolia Costa Verde</t>
  </si>
  <si>
    <t xml:space="preserve">Duplicado de llaves</t>
  </si>
  <si>
    <t xml:space="preserve">258-0365</t>
  </si>
  <si>
    <t xml:space="preserve">Materiales de Construccion Super Precio</t>
  </si>
  <si>
    <t xml:space="preserve">344-0988</t>
  </si>
  <si>
    <t xml:space="preserve">BAC Credomatic Panama</t>
  </si>
  <si>
    <t xml:space="preserve">Banco</t>
  </si>
  <si>
    <t xml:space="preserve">Nacional</t>
  </si>
  <si>
    <t xml:space="preserve">mercadeodigital@pa.bac.net</t>
  </si>
  <si>
    <t xml:space="preserve">escribi a afiliados@pa.bac.net; Servicio al Cliente (Laysa Espinosa) refirio a Mercadeo Digital el 28-09; reenviada propuesta con PDF</t>
  </si>
  <si>
    <t xml:space="preserve">Centro de Fisioterapia Lic. Javier Gonzalez</t>
  </si>
  <si>
    <t xml:space="preserve">Fisioterapia</t>
  </si>
  <si>
    <t xml:space="preserve">6849-3243</t>
  </si>
  <si>
    <t xml:space="preserve">vendedora 2; top2 fisio 9/28</t>
  </si>
  <si>
    <t xml:space="preserve">Clinica Laboratorio Santillana</t>
  </si>
  <si>
    <t xml:space="preserve">La Chorrera (Vista Mar)</t>
  </si>
  <si>
    <t xml:space="preserve">6407-5591</t>
  </si>
  <si>
    <t xml:space="preserve">vendedora 2; cierra 11pm; lideres 28/53</t>
  </si>
  <si>
    <t xml:space="preserve">Laboratorio Clinica Hospital Panama Oeste</t>
  </si>
  <si>
    <t xml:space="preserve">Anclas Mall</t>
  </si>
  <si>
    <t xml:space="preserve">6418-9448</t>
  </si>
  <si>
    <t xml:space="preserve">vendedora 2; lideres 28/53</t>
  </si>
  <si>
    <t xml:space="preserve">A&amp;M Sports Clinic</t>
  </si>
  <si>
    <t xml:space="preserve">Clinica ortopedica</t>
  </si>
  <si>
    <t xml:space="preserve">Market Plaza</t>
  </si>
  <si>
    <t xml:space="preserve">6328-6638</t>
  </si>
  <si>
    <t xml:space="preserve">vendedora 2; tiene web; lideres 40/53</t>
  </si>
  <si>
    <t xml:space="preserve">FISIOMED</t>
  </si>
  <si>
    <t xml:space="preserve">Plaza Panama Oeste</t>
  </si>
  <si>
    <t xml:space="preserve">6652-2618</t>
  </si>
  <si>
    <t xml:space="preserve">Plomero Panama</t>
  </si>
  <si>
    <t xml:space="preserve">Plomeria</t>
  </si>
  <si>
    <t xml:space="preserve">6207-1579</t>
  </si>
  <si>
    <t xml:space="preserve">vendedora 2; cierra 11pm; top2 plomeria 185/51</t>
  </si>
  <si>
    <t xml:space="preserve">Gonzalez Electric Panama</t>
  </si>
  <si>
    <t xml:space="preserve">Electricista</t>
  </si>
  <si>
    <t xml:space="preserve">6441-3314</t>
  </si>
  <si>
    <t xml:space="preserve">vendedora 2; top2 185/51</t>
  </si>
  <si>
    <t xml:space="preserve">Fontaneria y Destapes Martinez</t>
  </si>
  <si>
    <t xml:space="preserve">6809-6184</t>
  </si>
  <si>
    <t xml:space="preserve">vendedora 2; 24 horas; lider 185</t>
  </si>
  <si>
    <t xml:space="preserve">G&amp;Y Travel</t>
  </si>
  <si>
    <t xml:space="preserve">Agencia de viajes</t>
  </si>
  <si>
    <t xml:space="preserve">6330-1580</t>
  </si>
  <si>
    <t xml:space="preserve">vendedora 2; citas en linea; lideres 73/69</t>
  </si>
  <si>
    <t xml:space="preserve">Distribuidora N14</t>
  </si>
  <si>
    <t xml:space="preserve">6966-0028</t>
  </si>
  <si>
    <t xml:space="preserve">vendedora 2; lideres 206/138</t>
  </si>
  <si>
    <t xml:space="preserve">2026-09-30</t>
  </si>
  <si>
    <t xml:space="preserve">Clinica Dental Sonrisas Panama</t>
  </si>
  <si>
    <t xml:space="preserve">Bella Vista (Plaza Concordia)</t>
  </si>
  <si>
    <t xml:space="preserve">6679-8177</t>
  </si>
  <si>
    <t xml:space="preserve">top2 dentales Panama 495/1987</t>
  </si>
  <si>
    <t xml:space="preserve">Alineadores Panama Dr. Moises Sasson</t>
  </si>
  <si>
    <t xml:space="preserve">Ortodoncia</t>
  </si>
  <si>
    <t xml:space="preserve">San Francisco (Via Italia)</t>
  </si>
  <si>
    <t xml:space="preserve">6614-0017</t>
  </si>
  <si>
    <t xml:space="preserve">ficha patrocinada; top2 dentales 495/1987</t>
  </si>
  <si>
    <t xml:space="preserve">Consultorio Dra. Acevedo</t>
  </si>
  <si>
    <t xml:space="preserve">Consultorio medico</t>
  </si>
  <si>
    <t xml:space="preserve">Bella Vista (PH Potosi)</t>
  </si>
  <si>
    <t xml:space="preserve">6921-1144</t>
  </si>
  <si>
    <t xml:space="preserve">top2 consultorios Bella Vista 63/37</t>
  </si>
  <si>
    <t xml:space="preserve">THE FUNCTIONAL FAMILY</t>
  </si>
  <si>
    <t xml:space="preserve">Centro medico</t>
  </si>
  <si>
    <t xml:space="preserve">Bella Vista (C. 49 Este)</t>
  </si>
  <si>
    <t xml:space="preserve">6430-3818</t>
  </si>
  <si>
    <t xml:space="preserve">Clinica Dr. Rolando Pardo</t>
  </si>
  <si>
    <t xml:space="preserve">Clinica ambulatoria</t>
  </si>
  <si>
    <t xml:space="preserve">Bella Vista (Av. Balboa)</t>
  </si>
  <si>
    <t xml:space="preserve">6982-7121</t>
  </si>
  <si>
    <t xml:space="preserve">Dr. Wilmer Gonzalez Medico General</t>
  </si>
  <si>
    <t xml:space="preserve">Medicina general</t>
  </si>
  <si>
    <t xml:space="preserve">Bella Vista (Royal Center)</t>
  </si>
  <si>
    <t xml:space="preserve">6430-1776</t>
  </si>
  <si>
    <t xml:space="preserve">vendido</t>
  </si>
  <si>
    <t xml:space="preserve">compro Pack Trio $50; cotizacion STP-260930-170527; paquete despachado 06-10 con placa, 2 tarjetas y llavero de cortesia; RUC N-21-1393 Wilmer Gonzalez</t>
  </si>
  <si>
    <t xml:space="preserve">Centro de Rehabilitacion Especializada TENUA</t>
  </si>
  <si>
    <t xml:space="preserve">San Francisco (C. 68 Este)</t>
  </si>
  <si>
    <t xml:space="preserve">6761-3325</t>
  </si>
  <si>
    <t xml:space="preserve">top2 fisio San Francisco 306/109</t>
  </si>
  <si>
    <t xml:space="preserve">Performance Terapia Deportiva</t>
  </si>
  <si>
    <t xml:space="preserve">Fisioterapia deportiva</t>
  </si>
  <si>
    <t xml:space="preserve">Bella Vista (C. Elvira Mendez)</t>
  </si>
  <si>
    <t xml:space="preserve">6278-8834</t>
  </si>
  <si>
    <t xml:space="preserve">top2 fisio 306/109</t>
  </si>
  <si>
    <t xml:space="preserve">FISIOTRAINNING</t>
  </si>
  <si>
    <t xml:space="preserve">San Francisco (Sunset Strip)</t>
  </si>
  <si>
    <t xml:space="preserve">6164-9624</t>
  </si>
  <si>
    <t xml:space="preserve">Vital Minds</t>
  </si>
  <si>
    <t xml:space="preserve">Psicologia</t>
  </si>
  <si>
    <t xml:space="preserve">San Francisco (The Towers)</t>
  </si>
  <si>
    <t xml:space="preserve">6696-1787</t>
  </si>
  <si>
    <t xml:space="preserve">top2 psicologia 744/45</t>
  </si>
  <si>
    <t xml:space="preserve">Psycare Center</t>
  </si>
  <si>
    <t xml:space="preserve">Salud mental</t>
  </si>
  <si>
    <t xml:space="preserve">Obarrio (Av. Samuel Lewis)</t>
  </si>
  <si>
    <t xml:space="preserve">6328-8299</t>
  </si>
  <si>
    <t xml:space="preserve">Catarsis Panama</t>
  </si>
  <si>
    <t xml:space="preserve">Clinica psiquiatrica</t>
  </si>
  <si>
    <t xml:space="preserve">Ciudad de Panama</t>
  </si>
  <si>
    <t xml:space="preserve">6625-3514</t>
  </si>
  <si>
    <t xml:space="preserve">Clinica Dental 74</t>
  </si>
  <si>
    <t xml:space="preserve">San Francisco (C. 74 Este)</t>
  </si>
  <si>
    <t xml:space="preserve">270-4952</t>
  </si>
  <si>
    <t xml:space="preserve">fijo sin WhatsApp; top2 dentales 495/1987</t>
  </si>
  <si>
    <t xml:space="preserve">Hollywood Smile Dental Studio San Francisco</t>
  </si>
  <si>
    <t xml:space="preserve">San Francisco (C. 72 Este)</t>
  </si>
  <si>
    <t xml:space="preserve">382-0986</t>
  </si>
  <si>
    <t xml:space="preserve">Clinica Nueva Imagen</t>
  </si>
  <si>
    <t xml:space="preserve">Bella Vista</t>
  </si>
  <si>
    <t xml:space="preserve">398-8088</t>
  </si>
  <si>
    <t xml:space="preserve">fijo sin WhatsApp; top2 63/37</t>
  </si>
  <si>
    <t xml:space="preserve">Consultorios Medicos Paitilla 6 piso Sur</t>
  </si>
  <si>
    <t xml:space="preserve">Oficina medica</t>
  </si>
  <si>
    <t xml:space="preserve">Paitilla</t>
  </si>
  <si>
    <t xml:space="preserve">206-2590</t>
  </si>
  <si>
    <t xml:space="preserve">FisioAart Sede Principal</t>
  </si>
  <si>
    <t xml:space="preserve">Via Brasil</t>
  </si>
  <si>
    <t xml:space="preserve">381-1674</t>
  </si>
  <si>
    <t xml:space="preserve">fijo sin WhatsApp; top2 fisio 306/109</t>
  </si>
  <si>
    <t xml:space="preserve">Clinica De La Familia</t>
  </si>
  <si>
    <t xml:space="preserve">Psicoterapia</t>
  </si>
  <si>
    <t xml:space="preserve">San Francisco (C. 69 Este)</t>
  </si>
  <si>
    <t xml:space="preserve">226-6219</t>
  </si>
  <si>
    <t xml:space="preserve">fijo sin WhatsApp; top2 psicologia 744/45</t>
  </si>
  <si>
    <t xml:space="preserve">Psicologa Ericka Maley Camano</t>
  </si>
  <si>
    <t xml:space="preserve">391-2982</t>
  </si>
  <si>
    <t xml:space="preserve">FLORISTERIA JAEL</t>
  </si>
  <si>
    <t xml:space="preserve">Arraijan (Av. 2da Nte.)</t>
  </si>
  <si>
    <t xml:space="preserve">6657-1298</t>
  </si>
  <si>
    <t xml:space="preserve">vendedora 1 lista 30-09; cierra 8pm; top2 floristerias 359/70</t>
  </si>
  <si>
    <t xml:space="preserve">Floristeria Rosa Elena</t>
  </si>
  <si>
    <t xml:space="preserve">6827-3199</t>
  </si>
  <si>
    <t xml:space="preserve">vendedora 1 lista 30-09; entrega a domicilio; top2 359/70</t>
  </si>
  <si>
    <t xml:space="preserve">Floristeria Calix</t>
  </si>
  <si>
    <t xml:space="preserve">Arraijan (Plaza Lupita)</t>
  </si>
  <si>
    <t xml:space="preserve">6522-9504</t>
  </si>
  <si>
    <t xml:space="preserve">vendedora 1 lista 30-09; top2 floristerias 359/70</t>
  </si>
  <si>
    <t xml:space="preserve">CAIPI &amp; Guarderia TreeHouse</t>
  </si>
  <si>
    <t xml:space="preserve">6819-0763</t>
  </si>
  <si>
    <t xml:space="preserve">vendedora 1 lista 30-09; top2 guarderias 46/3</t>
  </si>
  <si>
    <t xml:space="preserve">Guarderia Music Kids</t>
  </si>
  <si>
    <t xml:space="preserve">Hato Montana (Arraijan)</t>
  </si>
  <si>
    <t xml:space="preserve">6797-2697</t>
  </si>
  <si>
    <t xml:space="preserve">CAIPI La Casita de Dora</t>
  </si>
  <si>
    <t xml:space="preserve">6779-7038</t>
  </si>
  <si>
    <t xml:space="preserve">Caipi y Guarderia Sol Naciente Arraijan</t>
  </si>
  <si>
    <t xml:space="preserve">6171-2819</t>
  </si>
  <si>
    <t xml:space="preserve">vendedora 1 lista 30-09; dos sedes mismo numero; top2 46/3</t>
  </si>
  <si>
    <t xml:space="preserve">Guarderia Pasitos de Angel</t>
  </si>
  <si>
    <t xml:space="preserve">6342-1012</t>
  </si>
  <si>
    <t xml:space="preserve">Guarderia Happy Kids</t>
  </si>
  <si>
    <t xml:space="preserve">Chapala (Arraijan)</t>
  </si>
  <si>
    <t xml:space="preserve">6549-7416</t>
  </si>
  <si>
    <t xml:space="preserve">Guarderia Coloreo y Aprendo Panama</t>
  </si>
  <si>
    <t xml:space="preserve">6576-6278</t>
  </si>
  <si>
    <t xml:space="preserve">Lolas Day Care Guarderia y Maternal</t>
  </si>
  <si>
    <t xml:space="preserve">Arraijan (C. 4)</t>
  </si>
  <si>
    <t xml:space="preserve">6797-4620</t>
  </si>
  <si>
    <t xml:space="preserve">vendedora 1 lista 30-09; ficha sin resenas; top2 46/3</t>
  </si>
  <si>
    <t xml:space="preserve">Floristeria Giflo</t>
  </si>
  <si>
    <t xml:space="preserve">Valle Hermoso (Arraijan)</t>
  </si>
  <si>
    <t xml:space="preserve">343-0330</t>
  </si>
  <si>
    <t xml:space="preserve">vendedora 1 lista 30-09; fijo sin WhatsApp</t>
  </si>
  <si>
    <t xml:space="preserve">CEMLAB Arraijan</t>
  </si>
  <si>
    <t xml:space="preserve">Laboratorio y centro medico</t>
  </si>
  <si>
    <t xml:space="preserve">Arraijan (Av. Omar Torrijos)</t>
  </si>
  <si>
    <t xml:space="preserve">6090-4427</t>
  </si>
  <si>
    <t xml:space="preserve">vendedora 2 lista 30-09; cierra 11pm; top2 labs 38/28</t>
  </si>
  <si>
    <t xml:space="preserve">Ventura Lab N.6 Brisas del Golf</t>
  </si>
  <si>
    <t xml:space="preserve">Brisas del Golf (Arraijan)</t>
  </si>
  <si>
    <t xml:space="preserve">6945-4848</t>
  </si>
  <si>
    <t xml:space="preserve">vendedora 2 lista 30-09; mismo numero que sede cabecera; top2 38/28</t>
  </si>
  <si>
    <t xml:space="preserve">ALTA REHAB</t>
  </si>
  <si>
    <t xml:space="preserve">Balboa Boutiques</t>
  </si>
  <si>
    <t xml:space="preserve">6946-9101</t>
  </si>
  <si>
    <t xml:space="preserve">vendedora 2 lista 30-09; top2 fisio 306/175</t>
  </si>
  <si>
    <t xml:space="preserve">Equilibrium Panama</t>
  </si>
  <si>
    <t xml:space="preserve">Panama Pacifico (PH Mosaic)</t>
  </si>
  <si>
    <t xml:space="preserve">6590-5972</t>
  </si>
  <si>
    <t xml:space="preserve">vendedora 2 lista 30-09; cierra 8pm; top2 fisio 306/175</t>
  </si>
  <si>
    <t xml:space="preserve">Osvaldo Henriquez Electricista</t>
  </si>
  <si>
    <t xml:space="preserve">6257-0155</t>
  </si>
  <si>
    <t xml:space="preserve">vendedora 2 lista 30-09; top2 plomeria 185/23</t>
  </si>
  <si>
    <t xml:space="preserve">Servicios Tecnicos AAA</t>
  </si>
  <si>
    <t xml:space="preserve">Contratista general</t>
  </si>
  <si>
    <t xml:space="preserve">Arraijan (C. B 148)</t>
  </si>
  <si>
    <t xml:space="preserve">6681-9481</t>
  </si>
  <si>
    <t xml:space="preserve">Servicios Generales QZ</t>
  </si>
  <si>
    <t xml:space="preserve">Contratista</t>
  </si>
  <si>
    <t xml:space="preserve">Bosques de Valle Hermoso</t>
  </si>
  <si>
    <t xml:space="preserve">6898-8925</t>
  </si>
  <si>
    <t xml:space="preserve">Mitim servicios de mantenimiento</t>
  </si>
  <si>
    <t xml:space="preserve">Mantenimiento del hogar</t>
  </si>
  <si>
    <t xml:space="preserve">Ciudad del Saber</t>
  </si>
  <si>
    <t xml:space="preserve">6884-0000</t>
  </si>
  <si>
    <t xml:space="preserve">vendedora 2 lista 30-09; varias cuadrillas; top2 185/23</t>
  </si>
  <si>
    <t xml:space="preserve">Plomeria Electricidad Agrazal</t>
  </si>
  <si>
    <t xml:space="preserve">Plomeria y electricidad</t>
  </si>
  <si>
    <t xml:space="preserve">Barriada Thatcher (Arraijan)</t>
  </si>
  <si>
    <t xml:space="preserve">6040-0490</t>
  </si>
  <si>
    <t xml:space="preserve">vendedora 2 lista 30-09; ficha sin resenas; top2 185/23</t>
  </si>
  <si>
    <t xml:space="preserve">Ps Service Panama</t>
  </si>
  <si>
    <t xml:space="preserve">Reparacion de aire acondicionado</t>
  </si>
  <si>
    <t xml:space="preserve">Nuevo Chorrillo (Arraijan)</t>
  </si>
  <si>
    <t xml:space="preserve">6598-8112</t>
  </si>
  <si>
    <t xml:space="preserve">vendedora 2 lista 30-09; ficha sin resenas</t>
  </si>
  <si>
    <t xml:space="preserve">Laboratorio Blood Diagnostic</t>
  </si>
  <si>
    <t xml:space="preserve">345-9322</t>
  </si>
  <si>
    <t xml:space="preserve">vendedora 2 lista 30-09; fijo sin WhatsApp</t>
  </si>
  <si>
    <t xml:space="preserve">Laboratorio Delgado Especializado N.4</t>
  </si>
  <si>
    <t xml:space="preserve">Burunga (Plaza Paseo)</t>
  </si>
  <si>
    <t xml:space="preserve">345-9611</t>
  </si>
  <si>
    <t xml:space="preserve">Laboratorio VDC Arraijan</t>
  </si>
  <si>
    <t xml:space="preserve">247-3724</t>
  </si>
  <si>
    <t xml:space="preserve">2026-10-01</t>
  </si>
  <si>
    <t xml:space="preserve">Electro Meca H.C</t>
  </si>
  <si>
    <t xml:space="preserve">Capira Centro</t>
  </si>
  <si>
    <t xml:space="preserve">6559-4055</t>
  </si>
  <si>
    <t xml:space="preserve">talleres jueves; top2 talleres Capira 21/7</t>
  </si>
  <si>
    <t xml:space="preserve">Taller Mecanico maquinas y camiones</t>
  </si>
  <si>
    <t xml:space="preserve">Capira</t>
  </si>
  <si>
    <t xml:space="preserve">6773-1457</t>
  </si>
  <si>
    <t xml:space="preserve">Taller Isaias</t>
  </si>
  <si>
    <t xml:space="preserve">Veracruz (Arraijan)</t>
  </si>
  <si>
    <t xml:space="preserve">6718-0677</t>
  </si>
  <si>
    <t xml:space="preserve">talleres jueves; top2 talleres Veracruz-Vacamonte 13/11</t>
  </si>
  <si>
    <t xml:space="preserve">Servicio mecanico a domicilio y diagnostico</t>
  </si>
  <si>
    <t xml:space="preserve">Taller mecanico a domicilio</t>
  </si>
  <si>
    <t xml:space="preserve">6498-9120</t>
  </si>
  <si>
    <t xml:space="preserve">Grupo Facil Taller, Gruas y Patio</t>
  </si>
  <si>
    <t xml:space="preserve">Taller y gruas</t>
  </si>
  <si>
    <t xml:space="preserve">6066-0334</t>
  </si>
  <si>
    <t xml:space="preserve">talleres jueves; top2 talleres Arraijan 24/73</t>
  </si>
  <si>
    <t xml:space="preserve">Llanteria A &amp; R</t>
  </si>
  <si>
    <t xml:space="preserve">6401-2863</t>
  </si>
  <si>
    <t xml:space="preserve">talleres jueves; top2 alineacion Arraijan 94/52</t>
  </si>
  <si>
    <t xml:space="preserve">Electromecanica PROTON</t>
  </si>
  <si>
    <t xml:space="preserve">Electromecanica automotriz</t>
  </si>
  <si>
    <t xml:space="preserve">6226-4323</t>
  </si>
  <si>
    <t xml:space="preserve">talleres jueves; top2 electricidad automotriz Arraijan 39/17</t>
  </si>
  <si>
    <t xml:space="preserve">Taller Resmoy</t>
  </si>
  <si>
    <t xml:space="preserve">Arraijan (Panamericana)</t>
  </si>
  <si>
    <t xml:space="preserve">6832-1015</t>
  </si>
  <si>
    <t xml:space="preserve">Reparaciones y Servicios Electromecanicos S.EP</t>
  </si>
  <si>
    <t xml:space="preserve">6485-3598</t>
  </si>
  <si>
    <t xml:space="preserve">Gorillas Workshop Panama</t>
  </si>
  <si>
    <t xml:space="preserve">Taller de motos</t>
  </si>
  <si>
    <t xml:space="preserve">6251-2447</t>
  </si>
  <si>
    <t xml:space="preserve">talleres jueves; top2 talleres de moto Arraijan 85/47</t>
  </si>
  <si>
    <t xml:space="preserve">AUTO AIRE E.T.</t>
  </si>
  <si>
    <t xml:space="preserve">Aire acondicionado automotriz</t>
  </si>
  <si>
    <t xml:space="preserve">6202-8656</t>
  </si>
  <si>
    <t xml:space="preserve">talleres jueves; top2 aire automotriz 199/188</t>
  </si>
  <si>
    <t xml:space="preserve">Auto Service JK</t>
  </si>
  <si>
    <t xml:space="preserve">Taller de automoviles</t>
  </si>
  <si>
    <t xml:space="preserve">6796-4679</t>
  </si>
  <si>
    <t xml:space="preserve">Taller Automotriz EM</t>
  </si>
  <si>
    <t xml:space="preserve">Chame</t>
  </si>
  <si>
    <t xml:space="preserve">6812-5672</t>
  </si>
  <si>
    <t xml:space="preserve">tanda 2 del 01-10; top2 talleres Chame 34/7</t>
  </si>
  <si>
    <t xml:space="preserve">Taller De Mecanica Victor</t>
  </si>
  <si>
    <t xml:space="preserve">6649-5383</t>
  </si>
  <si>
    <t xml:space="preserve">Taller mecanico Jose HT</t>
  </si>
  <si>
    <t xml:space="preserve">Coronado</t>
  </si>
  <si>
    <t xml:space="preserve">6705-8330</t>
  </si>
  <si>
    <t xml:space="preserve">tanda 2 del 01-10; top2 talleres Coronado 139/72</t>
  </si>
  <si>
    <t xml:space="preserve">CAMCAR Place</t>
  </si>
  <si>
    <t xml:space="preserve">Taller de reparacion de automoviles</t>
  </si>
  <si>
    <t xml:space="preserve">6088-1018</t>
  </si>
  <si>
    <t xml:space="preserve">Panama Cars Services</t>
  </si>
  <si>
    <t xml:space="preserve">Coronado (Av. Domingo Diaz)</t>
  </si>
  <si>
    <t xml:space="preserve">6373-5589</t>
  </si>
  <si>
    <t xml:space="preserve">Mecanico al Rescate</t>
  </si>
  <si>
    <t xml:space="preserve">Carr. Interamericana (Oeste)</t>
  </si>
  <si>
    <t xml:space="preserve">6842-8166</t>
  </si>
  <si>
    <t xml:space="preserve">Taller Llanteria Don Bosco 24hrs</t>
  </si>
  <si>
    <t xml:space="preserve">6652-0189</t>
  </si>
  <si>
    <t xml:space="preserve">Victor Nitro Car Service</t>
  </si>
  <si>
    <t xml:space="preserve">Pintura de automoviles</t>
  </si>
  <si>
    <t xml:space="preserve">Av. La Pulida</t>
  </si>
  <si>
    <t xml:space="preserve">6739-4050</t>
  </si>
  <si>
    <t xml:space="preserve">Llanteria el chamo Eddui</t>
  </si>
  <si>
    <t xml:space="preserve">Arraijan (Interamericana)</t>
  </si>
  <si>
    <t xml:space="preserve">6236-7981</t>
  </si>
  <si>
    <t xml:space="preserve">tanda 2 del 01-10; top2 llanterias Arraijan 188/94</t>
  </si>
  <si>
    <t xml:space="preserve">Llanteria y electromecanica La Bendicion</t>
  </si>
  <si>
    <t xml:space="preserve">Llanteria y electromecanica</t>
  </si>
  <si>
    <t xml:space="preserve">Paseo Arraijan</t>
  </si>
  <si>
    <t xml:space="preserve">6397-0510</t>
  </si>
  <si>
    <t xml:space="preserve">Centro de Haitianos Llantas #2</t>
  </si>
  <si>
    <t xml:space="preserve">Cerro Silvestre (Arraijan)</t>
  </si>
  <si>
    <t xml:space="preserve">6062-3436</t>
  </si>
  <si>
    <t xml:space="preserve">2026-10-05</t>
  </si>
  <si>
    <t xml:space="preserve">Rene's Barber studio-Barberia Chorrera</t>
  </si>
  <si>
    <t xml:space="preserve">6582-6006</t>
  </si>
  <si>
    <t xml:space="preserve">lunes barberias; Arraijan agotado, se roto a La Chorrera; resenas de 2 anos; top2 barberias Chorrera 96/75</t>
  </si>
  <si>
    <t xml:space="preserve">Young Rich Barbershop</t>
  </si>
  <si>
    <t xml:space="preserve">6855-9791</t>
  </si>
  <si>
    <t xml:space="preserve">lunes barberias; vende perfumes; sin resenas nuevas en 1 ano; top2 96/75</t>
  </si>
  <si>
    <t xml:space="preserve">YB #barbershop</t>
  </si>
  <si>
    <t xml:space="preserve">6462-2033</t>
  </si>
  <si>
    <t xml:space="preserve">lunes barberias; resenas de 4-5 anos; barbero que habla ingles; top2 96/75</t>
  </si>
  <si>
    <t xml:space="preserve">Barberia Bonny</t>
  </si>
  <si>
    <t xml:space="preserve">La Chorrera (Urb. La Vega)</t>
  </si>
  <si>
    <t xml:space="preserve">6373-4473</t>
  </si>
  <si>
    <t xml:space="preserve">lunes barberias; ficha sin reclamar; top2 96/75</t>
  </si>
  <si>
    <t xml:space="preserve">Barberia Eleganza Club</t>
  </si>
  <si>
    <t xml:space="preserve">La Chorrera (Calle H)</t>
  </si>
  <si>
    <t xml:space="preserve">6603-3856</t>
  </si>
  <si>
    <t xml:space="preserve">lunes barberias; resenas de 7 anos; ficha sin reclamar; top2 96/75</t>
  </si>
  <si>
    <t xml:space="preserve">Barber Studio And Spa</t>
  </si>
  <si>
    <t xml:space="preserve">La Chorrera (Anclas Mall)</t>
  </si>
  <si>
    <t xml:space="preserve">6004-6711</t>
  </si>
  <si>
    <t xml:space="preserve">lunes barberias; local nuevo, unica resena de 2 semanas; top2 96/75</t>
  </si>
  <si>
    <t xml:space="preserve">MUSA SALON &amp; SPA</t>
  </si>
  <si>
    <t xml:space="preserve">La Chorrera (Av. de las Americas)</t>
  </si>
  <si>
    <t xml:space="preserve">6780-8010</t>
  </si>
  <si>
    <t xml:space="preserve">lunes salones; resenas del ultimo mes; top2 salones Chorrera 57/51</t>
  </si>
  <si>
    <t xml:space="preserve">Daly con estilo sala de belleza</t>
  </si>
  <si>
    <t xml:space="preserve">La Chorrera (Via Puerto Caimito)</t>
  </si>
  <si>
    <t xml:space="preserve">6973-1684</t>
  </si>
  <si>
    <t xml:space="preserve">lunes salones; 10 resenas en un mismo mes hace 4 meses; ficha sin reclamar; top2 57/51</t>
  </si>
  <si>
    <t xml:space="preserve">D&amp;Ysalon</t>
  </si>
  <si>
    <t xml:space="preserve">6838-0589</t>
  </si>
  <si>
    <t xml:space="preserve">lunes salones; resenas de 7 anos; cierra 5pm; ficha sin reclamar; top2 57/51</t>
  </si>
  <si>
    <t xml:space="preserve">Sabina Beauty Salon</t>
  </si>
  <si>
    <t xml:space="preserve">6457-4384</t>
  </si>
  <si>
    <t xml:space="preserve">lunes salones; activa en Instagram; top2 57/51</t>
  </si>
  <si>
    <t xml:space="preserve">LB Hair Studio And Spa</t>
  </si>
  <si>
    <t xml:space="preserve">6858-5796</t>
  </si>
  <si>
    <t xml:space="preserve">lunes salones; actualiza su ficha; mujer empresaria; top2 57/51</t>
  </si>
  <si>
    <t xml:space="preserve">Lumea-Beauty by Ana</t>
  </si>
  <si>
    <t xml:space="preserve">La Chorrera (C. 6A Sur)</t>
  </si>
  <si>
    <t xml:space="preserve">6359-7865</t>
  </si>
  <si>
    <t xml:space="preserve">lunes salones; contesta todas las resenas; unas; top2 57/51</t>
  </si>
  <si>
    <t xml:space="preserve">Meraki Salon &amp; Barberia</t>
  </si>
  <si>
    <t xml:space="preserve">La Chorrera (OnDGo)</t>
  </si>
  <si>
    <t xml:space="preserve">6618-2377</t>
  </si>
  <si>
    <t xml:space="preserve">lunes salones; dan bebida con el corte; top2 57/51</t>
  </si>
  <si>
    <t xml:space="preserve">Street Flow Barber Shop</t>
  </si>
  <si>
    <t xml:space="preserve">sin telefono en la ficha</t>
  </si>
  <si>
    <t xml:space="preserve">lunes barberias; ficha sin numero, solo g.page; buscar por redes o visita</t>
  </si>
  <si>
    <t xml:space="preserve">Salon de Belleza Meyra</t>
  </si>
  <si>
    <t xml:space="preserve">La Chorrera (Carr. Panamericana)</t>
  </si>
  <si>
    <t xml:space="preserve">lunes salones; ficha sin numero ni reclamar; visita</t>
  </si>
  <si>
    <t xml:space="preserve">Kerlis Beauty Micropigmentacion</t>
  </si>
  <si>
    <t xml:space="preserve">Micropigmentacion</t>
  </si>
  <si>
    <t xml:space="preserve">Marbella (World Trade Center)</t>
  </si>
  <si>
    <t xml:space="preserve">6534-3933</t>
  </si>
  <si>
    <t xml:space="preserve">ciudad centro 06-10; pidio precio 05-10 14:45; se paso precio y ubicacion 06-10 7:05 con foto; pendiente que elija placa $30 o Pack $50; pago por Yappy</t>
  </si>
  <si>
    <t xml:space="preserve">Magia en tus cejas</t>
  </si>
  <si>
    <t xml:space="preserve">Maquillaje permanente</t>
  </si>
  <si>
    <t xml:space="preserve">Avenida Brasil</t>
  </si>
  <si>
    <t xml:space="preserve">6713-8542</t>
  </si>
  <si>
    <t xml:space="preserve">ciudad centro 06-10; pidio mas informacion 06-10 7:45; se paso precio y enlace del sitio</t>
  </si>
  <si>
    <t xml:space="preserve">Cejas pestanas Panama</t>
  </si>
  <si>
    <t xml:space="preserve">Bella Vista (C. 65 Este)</t>
  </si>
  <si>
    <t xml:space="preserve">6353-9894</t>
  </si>
  <si>
    <t xml:space="preserve">tanda 2 Panama centro; cierra 5pm; top2 129/126</t>
  </si>
  <si>
    <t xml:space="preserve">Majo Belleza Beauty</t>
  </si>
  <si>
    <t xml:space="preserve">Tienda de belleza</t>
  </si>
  <si>
    <t xml:space="preserve">Paitilla (Plaza Pacifica)</t>
  </si>
  <si>
    <t xml:space="preserve">6786-2844</t>
  </si>
  <si>
    <t xml:space="preserve">tanda 2 Panama centro; contesta resenas; tiene web; lideres tiendas 168/157</t>
  </si>
  <si>
    <t xml:space="preserve">Pashe Spa (Megapolis y Sunset)</t>
  </si>
  <si>
    <t xml:space="preserve">Megapolis Outlets y Via Israel</t>
  </si>
  <si>
    <t xml:space="preserve">6632-5991</t>
  </si>
  <si>
    <t xml:space="preserve">tanda 2 Panama centro; dos sedes mismo numero, Sunset con 1 resena; top2 129/126</t>
  </si>
  <si>
    <t xml:space="preserve">Agape Beauty Studio &amp; Academy</t>
  </si>
  <si>
    <t xml:space="preserve">Obarrio (Neo Plaza)</t>
  </si>
  <si>
    <t xml:space="preserve">6505-1112</t>
  </si>
  <si>
    <t xml:space="preserve">ciudad centro 06-10; contesto 9:55; hubo confusion por error de tipeo, se reenvio explicacion con precios</t>
  </si>
  <si>
    <t xml:space="preserve">Magic Beauty Spa</t>
  </si>
  <si>
    <t xml:space="preserve">PH Tower One (C. Rep. de Uruguay)</t>
  </si>
  <si>
    <t xml:space="preserve">6326-5649</t>
  </si>
  <si>
    <t xml:space="preserve">tanda 2 Panama centro; ficha confirmada hace 9 semanas; top2 129/126</t>
  </si>
  <si>
    <t xml:space="preserve">LASH LAB</t>
  </si>
  <si>
    <t xml:space="preserve">El Cangrejo (Edificio Aviv)</t>
  </si>
  <si>
    <t xml:space="preserve">6336-3296</t>
  </si>
  <si>
    <t xml:space="preserve">tanda 2 Panama centro; 2 resenas nuevas en semanas; top2 129/126</t>
  </si>
  <si>
    <t xml:space="preserve">Lash Brow Studio &amp; Stetic</t>
  </si>
  <si>
    <t xml:space="preserve">Bella Vista (C. 43 Este)</t>
  </si>
  <si>
    <t xml:space="preserve">6854-8083</t>
  </si>
  <si>
    <t xml:space="preserve">tanda 2 Panama centro; resenas de 3 anos; mujer empresaria; top2 129/126</t>
  </si>
  <si>
    <t xml:space="preserve">Bracho's Beauty Studio</t>
  </si>
  <si>
    <t xml:space="preserve">Maquillaje y estetica</t>
  </si>
  <si>
    <t xml:space="preserve">Panama (Evolution Towers)</t>
  </si>
  <si>
    <t xml:space="preserve">6675-4730</t>
  </si>
  <si>
    <t xml:space="preserve">tanda 2 Panama centro; tiene 2 fichas, la segunda 6489-8929 sin resenas; top2 129/126</t>
  </si>
  <si>
    <t xml:space="preserve">Attitude salon boutique</t>
  </si>
  <si>
    <t xml:space="preserve">Salon de belleza</t>
  </si>
  <si>
    <t xml:space="preserve">Panama centro</t>
  </si>
  <si>
    <t xml:space="preserve">284-2230</t>
  </si>
  <si>
    <t xml:space="preserve">tanda 2 Panama centro; fijo sin WhatsApp</t>
  </si>
  <si>
    <t xml:space="preserve">Fonda Quiquin</t>
  </si>
  <si>
    <t xml:space="preserve">6731-1280</t>
  </si>
  <si>
    <t xml:space="preserve">vendedora 1 lista 05-10; contesta resenas; abre 4:30am; Vista Alegre Grill cerca con 125</t>
  </si>
  <si>
    <t xml:space="preserve">Fonda El Sabor Ocueno SA</t>
  </si>
  <si>
    <t xml:space="preserve">Burunga (La Omar)</t>
  </si>
  <si>
    <t xml:space="preserve">6737-2610</t>
  </si>
  <si>
    <t xml:space="preserve">vendedora 1 lista 05-10; dentro de Ferreteria El Diamante (100 resenas); ficha sin reclamar</t>
  </si>
  <si>
    <t xml:space="preserve">FONDA LOS JUANOS</t>
  </si>
  <si>
    <t xml:space="preserve">6400-3881</t>
  </si>
  <si>
    <t xml:space="preserve">vendedora 1 lista 05-10; mujer empresaria; contesta resenas; top2 fondas Arraijan 17/17</t>
  </si>
  <si>
    <t xml:space="preserve">Fonda aguila Dule</t>
  </si>
  <si>
    <t xml:space="preserve">Valle del Sol (Arraijan)</t>
  </si>
  <si>
    <t xml:space="preserve">6118-0080</t>
  </si>
  <si>
    <t xml:space="preserve">vendedora 1 lista 05-10; resenas de 3 anos; ficha sin reclamar; pollo asado</t>
  </si>
  <si>
    <t xml:space="preserve">Fonda Edwin</t>
  </si>
  <si>
    <t xml:space="preserve">Vacamonte</t>
  </si>
  <si>
    <t xml:space="preserve">6592-8165</t>
  </si>
  <si>
    <t xml:space="preserve">vendedora 1 lista 05-10; resenas de 5 anos; ficha sin reclamar</t>
  </si>
  <si>
    <t xml:space="preserve">Fonda Riquito</t>
  </si>
  <si>
    <t xml:space="preserve">Burunga</t>
  </si>
  <si>
    <t xml:space="preserve">6734-4923</t>
  </si>
  <si>
    <t xml:space="preserve">vendedora 1 lista 05-10; resenas de 6-8 anos; horario dudoso; ficha sin reclamar</t>
  </si>
  <si>
    <t xml:space="preserve">pasteleria Candy</t>
  </si>
  <si>
    <t xml:space="preserve">6148-8194</t>
  </si>
  <si>
    <t xml:space="preserve">vendedora 1 lista 05-10; abierto 24h; pasteles por encargo; top2 pastelerias 23/17</t>
  </si>
  <si>
    <t xml:space="preserve">Thaiez bakery</t>
  </si>
  <si>
    <t xml:space="preserve">Reposteria</t>
  </si>
  <si>
    <t xml:space="preserve">6920-2363</t>
  </si>
  <si>
    <t xml:space="preserve">vendedora 1 lista 05-10; Instagram; resenas de 2 anos; top2 pastelerias 23/17</t>
  </si>
  <si>
    <t xml:space="preserve">Dulce Jangaby</t>
  </si>
  <si>
    <t xml:space="preserve">6742-6614</t>
  </si>
  <si>
    <t xml:space="preserve">vendedora 1 lista 05-10; tiene web; contesta resenas; top2 pastelerias 23/17</t>
  </si>
  <si>
    <t xml:space="preserve">Lavamatico Rafael</t>
  </si>
  <si>
    <t xml:space="preserve">Arraijan (Blvd. Simon Ruiz Diaz)</t>
  </si>
  <si>
    <t xml:space="preserve">6525-8399</t>
  </si>
  <si>
    <t xml:space="preserve">vendedora 1 lista 05-10; top2 lavanderias Arraijan 18/14</t>
  </si>
  <si>
    <t xml:space="preserve">Fonda Como en casa</t>
  </si>
  <si>
    <t xml:space="preserve">344-9011</t>
  </si>
  <si>
    <t xml:space="preserve">vendedora 1 lista 05-10; fijo sin WhatsApp; vende por PedidosYa</t>
  </si>
  <si>
    <t xml:space="preserve">Lavanderia Chung</t>
  </si>
  <si>
    <t xml:space="preserve">251-8535</t>
  </si>
  <si>
    <t xml:space="preserve">vendedora 1 lista 05-10; fijo sin WhatsApp</t>
  </si>
  <si>
    <t xml:space="preserve">2026-10-06</t>
  </si>
  <si>
    <t xml:space="preserve">Optica Todo Lentes</t>
  </si>
  <si>
    <t xml:space="preserve">Plaza Aventura (C. 74 Oeste)</t>
  </si>
  <si>
    <t xml:space="preserve">6898-8005</t>
  </si>
  <si>
    <t xml:space="preserve">ciudad centro 06-10; contesta todas las resenas; Dr. Chamorro; mujer empresaria; lideres opticas 464/235</t>
  </si>
  <si>
    <t xml:space="preserve">Kirei Studio</t>
  </si>
  <si>
    <t xml:space="preserve">Optica y belleza</t>
  </si>
  <si>
    <t xml:space="preserve">6623-9000</t>
  </si>
  <si>
    <t xml:space="preserve">ciudad centro 06-10; lentes mas servicios de belleza; lideres opticas 464/235</t>
  </si>
  <si>
    <t xml:space="preserve">Optica Hito</t>
  </si>
  <si>
    <t xml:space="preserve">Panama (Super Xtra)</t>
  </si>
  <si>
    <t xml:space="preserve">6878-2112</t>
  </si>
  <si>
    <t xml:space="preserve">ciudad centro 06-10; resenas de 5 y 8 anos; entrega a domicilio</t>
  </si>
  <si>
    <t xml:space="preserve">Jy impresiones y bordados</t>
  </si>
  <si>
    <t xml:space="preserve">Av. Central Espana</t>
  </si>
  <si>
    <t xml:space="preserve">6094-2661</t>
  </si>
  <si>
    <t xml:space="preserve">ciudad centro 06-10; lideres imprentas 231/92</t>
  </si>
  <si>
    <t xml:space="preserve">JECE SOLUCIONES</t>
  </si>
  <si>
    <t xml:space="preserve">Obarrio (Oceania Business Plaza)</t>
  </si>
  <si>
    <t xml:space="preserve">6213-2930</t>
  </si>
  <si>
    <t xml:space="preserve">ciudad centro 06-10; dentro de torre de oficinas; lideres 231/92</t>
  </si>
  <si>
    <t xml:space="preserve">Sweet blossom</t>
  </si>
  <si>
    <t xml:space="preserve">Obarrio (Newberry Plaza)</t>
  </si>
  <si>
    <t xml:space="preserve">6331-0418</t>
  </si>
  <si>
    <t xml:space="preserve">ciudad centro 06-10; mayorista; lideres floristerias 749/361</t>
  </si>
  <si>
    <t xml:space="preserve">Floristeria Florea</t>
  </si>
  <si>
    <t xml:space="preserve">Plaza la Riviera (C. 54 Este)</t>
  </si>
  <si>
    <t xml:space="preserve">6878-8947</t>
  </si>
  <si>
    <t xml:space="preserve">ciudad centro 06-10; cierra 3:30pm; lideres 749/361</t>
  </si>
  <si>
    <t xml:space="preserve">Retate Costura / Tu Modista Panama</t>
  </si>
  <si>
    <t xml:space="preserve">Modista y sastreria</t>
  </si>
  <si>
    <t xml:space="preserve">Av. Samuel Lewis y Obarrio</t>
  </si>
  <si>
    <t xml:space="preserve">6128-7621</t>
  </si>
  <si>
    <t xml:space="preserve">ciudad centro 06-10; dos fichas mismo numero (5 y 6 resenas); contesta resenas; mujer empresaria; lideres sastrerias 155/69</t>
  </si>
  <si>
    <t xml:space="preserve">De Souza Atelier</t>
  </si>
  <si>
    <t xml:space="preserve">Sastreria</t>
  </si>
  <si>
    <t xml:space="preserve">Plaza Paitilla Mall</t>
  </si>
  <si>
    <t xml:space="preserve">6396-1164</t>
  </si>
  <si>
    <t xml:space="preserve">ciudad centro 06-10; autorespuesta de empresa; contesto 'estamos bien', rechazo suave; si no responde al cierre pasa a no</t>
  </si>
  <si>
    <t xml:space="preserve">Modisteria y Boutique Leiva</t>
  </si>
  <si>
    <t xml:space="preserve">Modista y boutique</t>
  </si>
  <si>
    <t xml:space="preserve">Plaza Paitilla (local 12)</t>
  </si>
  <si>
    <t xml:space="preserve">6450-3685</t>
  </si>
  <si>
    <t xml:space="preserve">ciudad centro 06-10; ficha sin reclamar; lideres 155/69</t>
  </si>
  <si>
    <t xml:space="preserve">Optica Sosa &amp; Arango Marbella</t>
  </si>
  <si>
    <t xml:space="preserve">Marbella (Galerias Marbella)</t>
  </si>
  <si>
    <t xml:space="preserve">223-2034</t>
  </si>
  <si>
    <t xml:space="preserve">ciudad centro 06-10; fijo sin WhatsApp</t>
  </si>
  <si>
    <t xml:space="preserve">OPTICAS VISTOSO</t>
  </si>
  <si>
    <t xml:space="preserve">Plaza Pacifica</t>
  </si>
  <si>
    <t xml:space="preserve">215-3438</t>
  </si>
  <si>
    <t xml:space="preserve">ciudad centro 06-10; fijo sin WhatsApp; tiene web; contesta resenas</t>
  </si>
  <si>
    <t xml:space="preserve">La Printeria</t>
  </si>
  <si>
    <t xml:space="preserve">C. 52 Este</t>
  </si>
  <si>
    <t xml:space="preserve">388-3256</t>
  </si>
  <si>
    <t xml:space="preserve">Como usarlo</t>
  </si>
  <si>
    <t xml:space="preserve">Columna que editas</t>
  </si>
  <si>
    <t xml:space="preserve">Estado (columna I). Todo lo demas se calcula solo.</t>
  </si>
  <si>
    <t xml:space="preserve">Valores de Estado</t>
  </si>
  <si>
    <t xml:space="preserve">pendiente / enviado / respondio / vendido / no</t>
  </si>
  <si>
    <t xml:space="preserve">Que hace cada valor</t>
  </si>
  <si>
    <t xml:space="preserve">Todavia no le has escrito. Accion: enviar el primer mensaje.</t>
  </si>
  <si>
    <t xml:space="preserve">enviado</t>
  </si>
  <si>
    <t xml:space="preserve">Ya mandaste el primero. A las 24 o 48 horas toca el seguimiento, uno solo.</t>
  </si>
  <si>
    <t xml:space="preserve">Te contesto. Accion: atenderlo hoy mismo, responder en menos de 90 segundos sostiene la conversacion en 50 a 60% de los casos.</t>
  </si>
  <si>
    <t xml:space="preserve">Ya compro. Sale de prospeccion.</t>
  </si>
  <si>
    <t xml:space="preserve">No contesto el seguimiento o cerro. No se vuelve a tocar.</t>
  </si>
  <si>
    <t xml:space="preserve">Regla de los que no tienen info</t>
  </si>
  <si>
    <t xml:space="preserve">Si la fila no tiene numero de resenas o no tiene contacto, la columna Accion dice "Sin info, no aplica" y no se le arma seguimiento. Primero hay que completar el dato en Maps.</t>
  </si>
  <si>
    <t xml:space="preserve">Limite diario</t>
  </si>
  <si>
    <t xml:space="preserve">10 a 15 mensajes enviados a mano. Mas que eso, o automatizado, y WhatsApp bloquea el numero.</t>
  </si>
  <si>
    <t xml:space="preserve">Fuente</t>
  </si>
  <si>
    <t xml:space="preserve">PROSPECCION.md, seccion 5 del proyecto NFC. Exportado el 2026-10-06.</t>
  </si>
  <si>
    <t xml:space="preserve">Negocios</t>
  </si>
  <si>
    <t xml:space="preserve">Sin info (no aplica)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</si>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</sst>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6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14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3" t="n">
        <v>7</v>
      </c>
      <c r="F2" s="3" t="n">
        <v>4.9</v>
      </c>
      <c r="G2" s="2" t="s">
        <v>17</v>
      </c>
      <c r="H2" s="2" t="s">
        <v>18</v>
      </c>
      <c r="I2" s="2" t="s">
        <v>19</v>
      </c>
      <c r="J2" s="2" t="s">
        <v>20</v>
      </c>
      <c r="K2" s="3" t="n">
        <f aca="true">IFERROR(DATEDIF(DATEVALUE(A2),TODAY(),"d"),"")</f>
        <v>20</v>
      </c>
      <c r="L2" s="2" t="str">
        <f aca="false">IF(OR(E2="",H2="",H2="anotado sin numero"),"Sin info, no aplica",IF(I2="no","Cerrado, no volver a tocar",IF(I2="vendido","Cliente, no prospectar",IF(I2="respondio","Atender la conversacion hoy",IF(I2="enviado",IF(K2&gt;=1,"Mandar seguimiento (24-48h)","Esperar respuesta"),"Enviar primer mensaje")))))</f>
        <v>Enviar primer mensaje</v>
      </c>
      <c r="M2" s="4" t="str">
        <f aca="true">IF(OR(L2="Sin info, no aplica",L2="Cerrado, no volver a tocar",L2="Cliente, no prospectar"),"",IF(I2="enviado",DATEVALUE(A2)+2,IF(I2="respondio",TODAY(),"")))</f>
        <v/>
      </c>
    </row>
    <row r="3" customFormat="false" ht="15" hidden="false" customHeight="false" outlineLevel="0" collapsed="false">
      <c r="A3" s="2" t="s">
        <v>13</v>
      </c>
      <c r="B3" s="2" t="s">
        <v>21</v>
      </c>
      <c r="C3" s="2" t="s">
        <v>15</v>
      </c>
      <c r="D3" s="2" t="s">
        <v>16</v>
      </c>
      <c r="E3" s="3" t="n">
        <v>1</v>
      </c>
      <c r="F3" s="3" t="n">
        <v>5</v>
      </c>
      <c r="G3" s="2" t="s">
        <v>17</v>
      </c>
      <c r="H3" s="2" t="s">
        <v>22</v>
      </c>
      <c r="I3" s="2" t="s">
        <v>19</v>
      </c>
      <c r="J3" s="2" t="s">
        <v>20</v>
      </c>
      <c r="K3" s="3" t="n">
        <f aca="true">IFERROR(DATEDIF(DATEVALUE(A3),TODAY(),"d"),"")</f>
        <v>20</v>
      </c>
      <c r="L3" s="2" t="str">
        <f aca="false">IF(OR(E3="",H3="",H3="anotado sin numero"),"Sin info, no aplica",IF(I3="no","Cerrado, no volver a tocar",IF(I3="vendido","Cliente, no prospectar",IF(I3="respondio","Atender la conversacion hoy",IF(I3="enviado",IF(K3&gt;=1,"Mandar seguimiento (24-48h)","Esperar respuesta"),"Enviar primer mensaje")))))</f>
        <v>Enviar primer mensaje</v>
      </c>
      <c r="M3" s="4" t="str">
        <f aca="true">IF(OR(L3="Sin info, no aplica",L3="Cerrado, no volver a tocar",L3="Cliente, no prospectar"),"",IF(I3="enviado",DATEVALUE(A3)+2,IF(I3="respondio",TODAY(),"")))</f>
        <v/>
      </c>
    </row>
    <row r="4" customFormat="false" ht="15" hidden="false" customHeight="false" outlineLevel="0" collapsed="false">
      <c r="A4" s="2" t="s">
        <v>13</v>
      </c>
      <c r="B4" s="2" t="s">
        <v>23</v>
      </c>
      <c r="C4" s="2" t="s">
        <v>15</v>
      </c>
      <c r="D4" s="2" t="s">
        <v>16</v>
      </c>
      <c r="E4" s="3" t="n">
        <v>3</v>
      </c>
      <c r="F4" s="3" t="n">
        <v>5</v>
      </c>
      <c r="G4" s="2" t="s">
        <v>17</v>
      </c>
      <c r="H4" s="2" t="s">
        <v>24</v>
      </c>
      <c r="I4" s="2" t="s">
        <v>19</v>
      </c>
      <c r="J4" s="2" t="s">
        <v>20</v>
      </c>
      <c r="K4" s="3" t="n">
        <f aca="true">IFERROR(DATEDIF(DATEVALUE(A4),TODAY(),"d"),"")</f>
        <v>20</v>
      </c>
      <c r="L4" s="2" t="str">
        <f aca="false">IF(OR(E4="",H4="",H4="anotado sin numero"),"Sin info, no aplica",IF(I4="no","Cerrado, no volver a tocar",IF(I4="vendido","Cliente, no prospectar",IF(I4="respondio","Atender la conversacion hoy",IF(I4="enviado",IF(K4&gt;=1,"Mandar seguimiento (24-48h)","Esperar respuesta"),"Enviar primer mensaje")))))</f>
        <v>Enviar primer mensaje</v>
      </c>
      <c r="M4" s="4" t="str">
        <f aca="true">IF(OR(L4="Sin info, no aplica",L4="Cerrado, no volver a tocar",L4="Cliente, no prospectar"),"",IF(I4="enviado",DATEVALUE(A4)+2,IF(I4="respondio",TODAY(),"")))</f>
        <v/>
      </c>
    </row>
    <row r="5" customFormat="false" ht="15" hidden="false" customHeight="false" outlineLevel="0" collapsed="false">
      <c r="A5" s="2" t="s">
        <v>13</v>
      </c>
      <c r="B5" s="2" t="s">
        <v>25</v>
      </c>
      <c r="C5" s="2" t="s">
        <v>15</v>
      </c>
      <c r="D5" s="2" t="s">
        <v>16</v>
      </c>
      <c r="E5" s="3" t="n">
        <v>6</v>
      </c>
      <c r="F5" s="3" t="n">
        <v>4.7</v>
      </c>
      <c r="G5" s="2" t="s">
        <v>17</v>
      </c>
      <c r="H5" s="2" t="s">
        <v>26</v>
      </c>
      <c r="I5" s="2" t="s">
        <v>19</v>
      </c>
      <c r="J5" s="2" t="s">
        <v>27</v>
      </c>
      <c r="K5" s="3" t="n">
        <f aca="true">IFERROR(DATEDIF(DATEVALUE(A5),TODAY(),"d"),"")</f>
        <v>20</v>
      </c>
      <c r="L5" s="2" t="str">
        <f aca="false">IF(OR(E5="",H5="",H5="anotado sin numero"),"Sin info, no aplica",IF(I5="no","Cerrado, no volver a tocar",IF(I5="vendido","Cliente, no prospectar",IF(I5="respondio","Atender la conversacion hoy",IF(I5="enviado",IF(K5&gt;=1,"Mandar seguimiento (24-48h)","Esperar respuesta"),"Enviar primer mensaje")))))</f>
        <v>Enviar primer mensaje</v>
      </c>
      <c r="M5" s="4" t="str">
        <f aca="true">IF(OR(L5="Sin info, no aplica",L5="Cerrado, no volver a tocar",L5="Cliente, no prospectar"),"",IF(I5="enviado",DATEVALUE(A5)+2,IF(I5="respondio",TODAY(),"")))</f>
        <v/>
      </c>
    </row>
    <row r="6" customFormat="false" ht="15" hidden="false" customHeight="false" outlineLevel="0" collapsed="false">
      <c r="A6" s="2" t="s">
        <v>13</v>
      </c>
      <c r="B6" s="2" t="s">
        <v>28</v>
      </c>
      <c r="C6" s="2" t="s">
        <v>15</v>
      </c>
      <c r="D6" s="2" t="s">
        <v>16</v>
      </c>
      <c r="E6" s="3" t="n">
        <v>2</v>
      </c>
      <c r="F6" s="3" t="n">
        <v>5</v>
      </c>
      <c r="G6" s="2" t="s">
        <v>17</v>
      </c>
      <c r="H6" s="2" t="s">
        <v>29</v>
      </c>
      <c r="I6" s="2" t="s">
        <v>19</v>
      </c>
      <c r="J6" s="2" t="s">
        <v>30</v>
      </c>
      <c r="K6" s="3" t="n">
        <f aca="true">IFERROR(DATEDIF(DATEVALUE(A6),TODAY(),"d"),"")</f>
        <v>20</v>
      </c>
      <c r="L6" s="2" t="str">
        <f aca="false">IF(OR(E6="",H6="",H6="anotado sin numero"),"Sin info, no aplica",IF(I6="no","Cerrado, no volver a tocar",IF(I6="vendido","Cliente, no prospectar",IF(I6="respondio","Atender la conversacion hoy",IF(I6="enviado",IF(K6&gt;=1,"Mandar seguimiento (24-48h)","Esperar respuesta"),"Enviar primer mensaje")))))</f>
        <v>Enviar primer mensaje</v>
      </c>
      <c r="M6" s="4" t="str">
        <f aca="true">IF(OR(L6="Sin info, no aplica",L6="Cerrado, no volver a tocar",L6="Cliente, no prospectar"),"",IF(I6="enviado",DATEVALUE(A6)+2,IF(I6="respondio",TODAY(),"")))</f>
        <v/>
      </c>
    </row>
    <row r="7" customFormat="false" ht="15" hidden="false" customHeight="false" outlineLevel="0" collapsed="false">
      <c r="A7" s="2" t="s">
        <v>13</v>
      </c>
      <c r="B7" s="2" t="s">
        <v>31</v>
      </c>
      <c r="C7" s="2" t="s">
        <v>15</v>
      </c>
      <c r="D7" s="2" t="s">
        <v>16</v>
      </c>
      <c r="E7" s="3" t="n">
        <v>4</v>
      </c>
      <c r="F7" s="3" t="n">
        <v>5</v>
      </c>
      <c r="G7" s="2" t="s">
        <v>17</v>
      </c>
      <c r="H7" s="2" t="s">
        <v>32</v>
      </c>
      <c r="I7" s="2" t="s">
        <v>19</v>
      </c>
      <c r="J7" s="2" t="s">
        <v>30</v>
      </c>
      <c r="K7" s="3" t="n">
        <f aca="true">IFERROR(DATEDIF(DATEVALUE(A7),TODAY(),"d"),"")</f>
        <v>20</v>
      </c>
      <c r="L7" s="2" t="str">
        <f aca="false">IF(OR(E7="",H7="",H7="anotado sin numero"),"Sin info, no aplica",IF(I7="no","Cerrado, no volver a tocar",IF(I7="vendido","Cliente, no prospectar",IF(I7="respondio","Atender la conversacion hoy",IF(I7="enviado",IF(K7&gt;=1,"Mandar seguimiento (24-48h)","Esperar respuesta"),"Enviar primer mensaje")))))</f>
        <v>Enviar primer mensaje</v>
      </c>
      <c r="M7" s="4" t="str">
        <f aca="true">IF(OR(L7="Sin info, no aplica",L7="Cerrado, no volver a tocar",L7="Cliente, no prospectar"),"",IF(I7="enviado",DATEVALUE(A7)+2,IF(I7="respondio",TODAY(),"")))</f>
        <v/>
      </c>
    </row>
    <row r="8" customFormat="false" ht="15" hidden="false" customHeight="false" outlineLevel="0" collapsed="false">
      <c r="A8" s="2" t="s">
        <v>13</v>
      </c>
      <c r="B8" s="2" t="s">
        <v>33</v>
      </c>
      <c r="C8" s="2" t="s">
        <v>34</v>
      </c>
      <c r="D8" s="2" t="s">
        <v>16</v>
      </c>
      <c r="E8" s="3" t="n">
        <v>14</v>
      </c>
      <c r="F8" s="3" t="n">
        <v>4.9</v>
      </c>
      <c r="G8" s="2" t="s">
        <v>17</v>
      </c>
      <c r="H8" s="2" t="s">
        <v>35</v>
      </c>
      <c r="I8" s="2" t="s">
        <v>19</v>
      </c>
      <c r="J8" s="2" t="s">
        <v>36</v>
      </c>
      <c r="K8" s="3" t="n">
        <f aca="true">IFERROR(DATEDIF(DATEVALUE(A8),TODAY(),"d"),"")</f>
        <v>20</v>
      </c>
      <c r="L8" s="2" t="str">
        <f aca="false">IF(OR(E8="",H8="",H8="anotado sin numero"),"Sin info, no aplica",IF(I8="no","Cerrado, no volver a tocar",IF(I8="vendido","Cliente, no prospectar",IF(I8="respondio","Atender la conversacion hoy",IF(I8="enviado",IF(K8&gt;=1,"Mandar seguimiento (24-48h)","Esperar respuesta"),"Enviar primer mensaje")))))</f>
        <v>Enviar primer mensaje</v>
      </c>
      <c r="M8" s="4" t="str">
        <f aca="true">IF(OR(L8="Sin info, no aplica",L8="Cerrado, no volver a tocar",L8="Cliente, no prospectar"),"",IF(I8="enviado",DATEVALUE(A8)+2,IF(I8="respondio",TODAY(),"")))</f>
        <v/>
      </c>
    </row>
    <row r="9" customFormat="false" ht="15" hidden="false" customHeight="false" outlineLevel="0" collapsed="false">
      <c r="A9" s="2" t="s">
        <v>13</v>
      </c>
      <c r="B9" s="2" t="s">
        <v>37</v>
      </c>
      <c r="C9" s="2" t="s">
        <v>34</v>
      </c>
      <c r="D9" s="2" t="s">
        <v>16</v>
      </c>
      <c r="E9" s="3" t="n">
        <v>1</v>
      </c>
      <c r="F9" s="3" t="n">
        <v>5</v>
      </c>
      <c r="G9" s="2" t="s">
        <v>17</v>
      </c>
      <c r="H9" s="2" t="s">
        <v>38</v>
      </c>
      <c r="I9" s="2" t="s">
        <v>19</v>
      </c>
      <c r="J9" s="2" t="s">
        <v>36</v>
      </c>
      <c r="K9" s="3" t="n">
        <f aca="true">IFERROR(DATEDIF(DATEVALUE(A9),TODAY(),"d"),"")</f>
        <v>20</v>
      </c>
      <c r="L9" s="2" t="str">
        <f aca="false">IF(OR(E9="",H9="",H9="anotado sin numero"),"Sin info, no aplica",IF(I9="no","Cerrado, no volver a tocar",IF(I9="vendido","Cliente, no prospectar",IF(I9="respondio","Atender la conversacion hoy",IF(I9="enviado",IF(K9&gt;=1,"Mandar seguimiento (24-48h)","Esperar respuesta"),"Enviar primer mensaje")))))</f>
        <v>Enviar primer mensaje</v>
      </c>
      <c r="M9" s="4" t="str">
        <f aca="true">IF(OR(L9="Sin info, no aplica",L9="Cerrado, no volver a tocar",L9="Cliente, no prospectar"),"",IF(I9="enviado",DATEVALUE(A9)+2,IF(I9="respondio",TODAY(),"")))</f>
        <v/>
      </c>
    </row>
    <row r="10" customFormat="false" ht="15" hidden="false" customHeight="false" outlineLevel="0" collapsed="false">
      <c r="A10" s="2" t="s">
        <v>13</v>
      </c>
      <c r="B10" s="2" t="s">
        <v>39</v>
      </c>
      <c r="C10" s="2" t="s">
        <v>40</v>
      </c>
      <c r="D10" s="2" t="s">
        <v>16</v>
      </c>
      <c r="E10" s="3" t="n">
        <v>13</v>
      </c>
      <c r="F10" s="3" t="n">
        <v>4.7</v>
      </c>
      <c r="G10" s="2" t="s">
        <v>17</v>
      </c>
      <c r="H10" s="2" t="s">
        <v>41</v>
      </c>
      <c r="I10" s="2" t="s">
        <v>19</v>
      </c>
      <c r="J10" s="2" t="s">
        <v>42</v>
      </c>
      <c r="K10" s="3" t="n">
        <f aca="true">IFERROR(DATEDIF(DATEVALUE(A10),TODAY(),"d"),"")</f>
        <v>20</v>
      </c>
      <c r="L10" s="2" t="str">
        <f aca="false">IF(OR(E10="",H10="",H10="anotado sin numero"),"Sin info, no aplica",IF(I10="no","Cerrado, no volver a tocar",IF(I10="vendido","Cliente, no prospectar",IF(I10="respondio","Atender la conversacion hoy",IF(I10="enviado",IF(K10&gt;=1,"Mandar seguimiento (24-48h)","Esperar respuesta"),"Enviar primer mensaje")))))</f>
        <v>Enviar primer mensaje</v>
      </c>
      <c r="M10" s="4" t="str">
        <f aca="true">IF(OR(L10="Sin info, no aplica",L10="Cerrado, no volver a tocar",L10="Cliente, no prospectar"),"",IF(I10="enviado",DATEVALUE(A10)+2,IF(I10="respondio",TODAY(),"")))</f>
        <v/>
      </c>
    </row>
    <row r="11" customFormat="false" ht="15" hidden="false" customHeight="false" outlineLevel="0" collapsed="false">
      <c r="A11" s="2" t="s">
        <v>13</v>
      </c>
      <c r="B11" s="2" t="s">
        <v>43</v>
      </c>
      <c r="C11" s="2" t="s">
        <v>40</v>
      </c>
      <c r="D11" s="2" t="s">
        <v>16</v>
      </c>
      <c r="E11" s="3" t="n">
        <v>8</v>
      </c>
      <c r="F11" s="3" t="n">
        <v>4.4</v>
      </c>
      <c r="G11" s="2" t="s">
        <v>17</v>
      </c>
      <c r="H11" s="2" t="s">
        <v>44</v>
      </c>
      <c r="I11" s="2" t="s">
        <v>19</v>
      </c>
      <c r="J11" s="2" t="s">
        <v>45</v>
      </c>
      <c r="K11" s="3" t="n">
        <f aca="true">IFERROR(DATEDIF(DATEVALUE(A11),TODAY(),"d"),"")</f>
        <v>20</v>
      </c>
      <c r="L11" s="2" t="str">
        <f aca="false">IF(OR(E11="",H11="",H11="anotado sin numero"),"Sin info, no aplica",IF(I11="no","Cerrado, no volver a tocar",IF(I11="vendido","Cliente, no prospectar",IF(I11="respondio","Atender la conversacion hoy",IF(I11="enviado",IF(K11&gt;=1,"Mandar seguimiento (24-48h)","Esperar respuesta"),"Enviar primer mensaje")))))</f>
        <v>Enviar primer mensaje</v>
      </c>
      <c r="M11" s="4" t="str">
        <f aca="true">IF(OR(L11="Sin info, no aplica",L11="Cerrado, no volver a tocar",L11="Cliente, no prospectar"),"",IF(I11="enviado",DATEVALUE(A11)+2,IF(I11="respondio",TODAY(),"")))</f>
        <v/>
      </c>
    </row>
    <row r="12" customFormat="false" ht="15" hidden="false" customHeight="false" outlineLevel="0" collapsed="false">
      <c r="A12" s="2" t="s">
        <v>13</v>
      </c>
      <c r="B12" s="2" t="s">
        <v>46</v>
      </c>
      <c r="C12" s="2" t="s">
        <v>34</v>
      </c>
      <c r="D12" s="2" t="s">
        <v>16</v>
      </c>
      <c r="E12" s="3" t="n">
        <v>1</v>
      </c>
      <c r="F12" s="3" t="n">
        <v>5</v>
      </c>
      <c r="G12" s="2" t="s">
        <v>17</v>
      </c>
      <c r="H12" s="2" t="s">
        <v>47</v>
      </c>
      <c r="I12" s="2" t="s">
        <v>19</v>
      </c>
      <c r="J12" s="2" t="s">
        <v>36</v>
      </c>
      <c r="K12" s="3" t="n">
        <f aca="true">IFERROR(DATEDIF(DATEVALUE(A12),TODAY(),"d"),"")</f>
        <v>20</v>
      </c>
      <c r="L12" s="2" t="str">
        <f aca="false">IF(OR(E12="",H12="",H12="anotado sin numero"),"Sin info, no aplica",IF(I12="no","Cerrado, no volver a tocar",IF(I12="vendido","Cliente, no prospectar",IF(I12="respondio","Atender la conversacion hoy",IF(I12="enviado",IF(K12&gt;=1,"Mandar seguimiento (24-48h)","Esperar respuesta"),"Enviar primer mensaje")))))</f>
        <v>Enviar primer mensaje</v>
      </c>
      <c r="M12" s="4" t="str">
        <f aca="true">IF(OR(L12="Sin info, no aplica",L12="Cerrado, no volver a tocar",L12="Cliente, no prospectar"),"",IF(I12="enviado",DATEVALUE(A12)+2,IF(I12="respondio",TODAY(),"")))</f>
        <v/>
      </c>
    </row>
    <row r="13" customFormat="false" ht="15" hidden="false" customHeight="false" outlineLevel="0" collapsed="false">
      <c r="A13" s="2" t="s">
        <v>13</v>
      </c>
      <c r="B13" s="2" t="s">
        <v>48</v>
      </c>
      <c r="C13" s="2" t="s">
        <v>15</v>
      </c>
      <c r="D13" s="2" t="s">
        <v>16</v>
      </c>
      <c r="E13" s="3" t="n">
        <v>6</v>
      </c>
      <c r="F13" s="3" t="n">
        <v>4.8</v>
      </c>
      <c r="G13" s="2" t="s">
        <v>49</v>
      </c>
      <c r="H13" s="2" t="s">
        <v>50</v>
      </c>
      <c r="I13" s="2" t="s">
        <v>19</v>
      </c>
      <c r="J13" s="2" t="s">
        <v>51</v>
      </c>
      <c r="K13" s="3" t="n">
        <f aca="true">IFERROR(DATEDIF(DATEVALUE(A13),TODAY(),"d"),"")</f>
        <v>20</v>
      </c>
      <c r="L13" s="2" t="str">
        <f aca="false">IF(OR(E13="",H13="",H13="anotado sin numero"),"Sin info, no aplica",IF(I13="no","Cerrado, no volver a tocar",IF(I13="vendido","Cliente, no prospectar",IF(I13="respondio","Atender la conversacion hoy",IF(I13="enviado",IF(K13&gt;=1,"Mandar seguimiento (24-48h)","Esperar respuesta"),"Enviar primer mensaje")))))</f>
        <v>Enviar primer mensaje</v>
      </c>
      <c r="M13" s="4" t="str">
        <f aca="true">IF(OR(L13="Sin info, no aplica",L13="Cerrado, no volver a tocar",L13="Cliente, no prospectar"),"",IF(I13="enviado",DATEVALUE(A13)+2,IF(I13="respondio",TODAY(),"")))</f>
        <v/>
      </c>
    </row>
    <row r="14" customFormat="false" ht="15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16</v>
      </c>
      <c r="E14" s="3" t="n">
        <v>42</v>
      </c>
      <c r="F14" s="3" t="n">
        <v>4.8</v>
      </c>
      <c r="G14" s="2" t="s">
        <v>17</v>
      </c>
      <c r="H14" s="2" t="s">
        <v>55</v>
      </c>
      <c r="I14" s="2" t="s">
        <v>19</v>
      </c>
      <c r="J14" s="2" t="s">
        <v>56</v>
      </c>
      <c r="K14" s="3" t="n">
        <f aca="true">IFERROR(DATEDIF(DATEVALUE(A14),TODAY(),"d"),"")</f>
        <v>14</v>
      </c>
      <c r="L14" s="2" t="str">
        <f aca="false">IF(OR(E14="",H14="",H14="anotado sin numero"),"Sin info, no aplica",IF(I14="no","Cerrado, no volver a tocar",IF(I14="vendido","Cliente, no prospectar",IF(I14="respondio","Atender la conversacion hoy",IF(I14="enviado",IF(K14&gt;=1,"Mandar seguimiento (24-48h)","Esperar respuesta"),"Enviar primer mensaje")))))</f>
        <v>Enviar primer mensaje</v>
      </c>
      <c r="M14" s="4" t="str">
        <f aca="true">IF(OR(L14="Sin info, no aplica",L14="Cerrado, no volver a tocar",L14="Cliente, no prospectar"),"",IF(I14="enviado",DATEVALUE(A14)+2,IF(I14="respondio",TODAY(),"")))</f>
        <v/>
      </c>
    </row>
    <row r="15" customFormat="false" ht="15" hidden="false" customHeight="false" outlineLevel="0" collapsed="false">
      <c r="A15" s="2" t="s">
        <v>52</v>
      </c>
      <c r="B15" s="2" t="s">
        <v>57</v>
      </c>
      <c r="C15" s="2" t="s">
        <v>54</v>
      </c>
      <c r="D15" s="2" t="s">
        <v>16</v>
      </c>
      <c r="E15" s="3" t="n">
        <v>41</v>
      </c>
      <c r="F15" s="3" t="n">
        <v>4.6</v>
      </c>
      <c r="G15" s="2" t="s">
        <v>17</v>
      </c>
      <c r="H15" s="2" t="s">
        <v>58</v>
      </c>
      <c r="I15" s="2" t="s">
        <v>59</v>
      </c>
      <c r="J15" s="2" t="s">
        <v>60</v>
      </c>
      <c r="K15" s="3" t="n">
        <f aca="true">IFERROR(DATEDIF(DATEVALUE(A15),TODAY(),"d"),"")</f>
        <v>14</v>
      </c>
      <c r="L15" s="2" t="str">
        <f aca="false">IF(OR(E15="",H15="",H15="anotado sin numero"),"Sin info, no aplica",IF(I15="no","Cerrado, no volver a tocar",IF(I15="vendido","Cliente, no prospectar",IF(I15="respondio","Atender la conversacion hoy",IF(I15="enviado",IF(K15&gt;=1,"Mandar seguimiento (24-48h)","Esperar respuesta"),"Enviar primer mensaje")))))</f>
        <v>Atender la conversacion hoy</v>
      </c>
      <c r="M15" s="4" t="n">
        <f aca="true">IF(OR(L15="Sin info, no aplica",L15="Cerrado, no volver a tocar",L15="Cliente, no prospectar"),"",IF(I15="enviado",DATEVALUE(A15)+2,IF(I15="respondio",TODAY(),"")))</f>
        <v>46301</v>
      </c>
    </row>
    <row r="16" customFormat="false" ht="15" hidden="false" customHeight="false" outlineLevel="0" collapsed="false">
      <c r="A16" s="2" t="s">
        <v>52</v>
      </c>
      <c r="B16" s="2" t="s">
        <v>61</v>
      </c>
      <c r="C16" s="2" t="s">
        <v>54</v>
      </c>
      <c r="D16" s="2" t="s">
        <v>16</v>
      </c>
      <c r="E16" s="3" t="n">
        <v>3</v>
      </c>
      <c r="F16" s="3" t="n">
        <v>5</v>
      </c>
      <c r="G16" s="2" t="s">
        <v>17</v>
      </c>
      <c r="H16" s="2" t="s">
        <v>62</v>
      </c>
      <c r="I16" s="2" t="s">
        <v>19</v>
      </c>
      <c r="J16" s="2" t="s">
        <v>63</v>
      </c>
      <c r="K16" s="3" t="n">
        <f aca="true">IFERROR(DATEDIF(DATEVALUE(A16),TODAY(),"d"),"")</f>
        <v>14</v>
      </c>
      <c r="L16" s="2" t="str">
        <f aca="false">IF(OR(E16="",H16="",H16="anotado sin numero"),"Sin info, no aplica",IF(I16="no","Cerrado, no volver a tocar",IF(I16="vendido","Cliente, no prospectar",IF(I16="respondio","Atender la conversacion hoy",IF(I16="enviado",IF(K16&gt;=1,"Mandar seguimiento (24-48h)","Esperar respuesta"),"Enviar primer mensaje")))))</f>
        <v>Enviar primer mensaje</v>
      </c>
      <c r="M16" s="4" t="str">
        <f aca="true">IF(OR(L16="Sin info, no aplica",L16="Cerrado, no volver a tocar",L16="Cliente, no prospectar"),"",IF(I16="enviado",DATEVALUE(A16)+2,IF(I16="respondio",TODAY(),"")))</f>
        <v/>
      </c>
    </row>
    <row r="17" customFormat="false" ht="15" hidden="false" customHeight="false" outlineLevel="0" collapsed="false">
      <c r="A17" s="2" t="s">
        <v>52</v>
      </c>
      <c r="B17" s="2" t="s">
        <v>64</v>
      </c>
      <c r="C17" s="2" t="s">
        <v>65</v>
      </c>
      <c r="D17" s="2" t="s">
        <v>16</v>
      </c>
      <c r="E17" s="3" t="n">
        <v>7</v>
      </c>
      <c r="F17" s="3" t="n">
        <v>4.9</v>
      </c>
      <c r="G17" s="2" t="s">
        <v>17</v>
      </c>
      <c r="H17" s="2" t="s">
        <v>66</v>
      </c>
      <c r="I17" s="2" t="s">
        <v>59</v>
      </c>
      <c r="J17" s="2" t="s">
        <v>67</v>
      </c>
      <c r="K17" s="3" t="n">
        <f aca="true">IFERROR(DATEDIF(DATEVALUE(A17),TODAY(),"d"),"")</f>
        <v>14</v>
      </c>
      <c r="L17" s="2" t="str">
        <f aca="false">IF(OR(E17="",H17="",H17="anotado sin numero"),"Sin info, no aplica",IF(I17="no","Cerrado, no volver a tocar",IF(I17="vendido","Cliente, no prospectar",IF(I17="respondio","Atender la conversacion hoy",IF(I17="enviado",IF(K17&gt;=1,"Mandar seguimiento (24-48h)","Esperar respuesta"),"Enviar primer mensaje")))))</f>
        <v>Atender la conversacion hoy</v>
      </c>
      <c r="M17" s="4" t="n">
        <f aca="true">IF(OR(L17="Sin info, no aplica",L17="Cerrado, no volver a tocar",L17="Cliente, no prospectar"),"",IF(I17="enviado",DATEVALUE(A17)+2,IF(I17="respondio",TODAY(),"")))</f>
        <v>46301</v>
      </c>
    </row>
    <row r="18" customFormat="false" ht="15" hidden="false" customHeight="false" outlineLevel="0" collapsed="false">
      <c r="A18" s="2" t="s">
        <v>52</v>
      </c>
      <c r="B18" s="2" t="s">
        <v>68</v>
      </c>
      <c r="C18" s="2" t="s">
        <v>15</v>
      </c>
      <c r="D18" s="2" t="s">
        <v>16</v>
      </c>
      <c r="E18" s="3" t="n">
        <v>16</v>
      </c>
      <c r="F18" s="3" t="n">
        <v>4.4</v>
      </c>
      <c r="G18" s="2" t="s">
        <v>17</v>
      </c>
      <c r="H18" s="2" t="s">
        <v>69</v>
      </c>
      <c r="I18" s="2" t="s">
        <v>19</v>
      </c>
      <c r="J18" s="2" t="s">
        <v>70</v>
      </c>
      <c r="K18" s="3" t="n">
        <f aca="true">IFERROR(DATEDIF(DATEVALUE(A18),TODAY(),"d"),"")</f>
        <v>14</v>
      </c>
      <c r="L18" s="2" t="str">
        <f aca="false">IF(OR(E18="",H18="",H18="anotado sin numero"),"Sin info, no aplica",IF(I18="no","Cerrado, no volver a tocar",IF(I18="vendido","Cliente, no prospectar",IF(I18="respondio","Atender la conversacion hoy",IF(I18="enviado",IF(K18&gt;=1,"Mandar seguimiento (24-48h)","Esperar respuesta"),"Enviar primer mensaje")))))</f>
        <v>Enviar primer mensaje</v>
      </c>
      <c r="M18" s="4" t="str">
        <f aca="true">IF(OR(L18="Sin info, no aplica",L18="Cerrado, no volver a tocar",L18="Cliente, no prospectar"),"",IF(I18="enviado",DATEVALUE(A18)+2,IF(I18="respondio",TODAY(),"")))</f>
        <v/>
      </c>
    </row>
    <row r="19" customFormat="false" ht="15" hidden="false" customHeight="false" outlineLevel="0" collapsed="false">
      <c r="A19" s="2" t="s">
        <v>52</v>
      </c>
      <c r="B19" s="2" t="s">
        <v>71</v>
      </c>
      <c r="C19" s="2" t="s">
        <v>15</v>
      </c>
      <c r="D19" s="2" t="s">
        <v>16</v>
      </c>
      <c r="E19" s="3" t="n">
        <v>18</v>
      </c>
      <c r="F19" s="3" t="n">
        <v>4.9</v>
      </c>
      <c r="G19" s="2" t="s">
        <v>17</v>
      </c>
      <c r="H19" s="2" t="s">
        <v>72</v>
      </c>
      <c r="I19" s="2" t="s">
        <v>19</v>
      </c>
      <c r="J19" s="2" t="s">
        <v>73</v>
      </c>
      <c r="K19" s="3" t="n">
        <f aca="true">IFERROR(DATEDIF(DATEVALUE(A19),TODAY(),"d"),"")</f>
        <v>14</v>
      </c>
      <c r="L19" s="2" t="str">
        <f aca="false">IF(OR(E19="",H19="",H19="anotado sin numero"),"Sin info, no aplica",IF(I19="no","Cerrado, no volver a tocar",IF(I19="vendido","Cliente, no prospectar",IF(I19="respondio","Atender la conversacion hoy",IF(I19="enviado",IF(K19&gt;=1,"Mandar seguimiento (24-48h)","Esperar respuesta"),"Enviar primer mensaje")))))</f>
        <v>Enviar primer mensaje</v>
      </c>
      <c r="M19" s="4" t="str">
        <f aca="true">IF(OR(L19="Sin info, no aplica",L19="Cerrado, no volver a tocar",L19="Cliente, no prospectar"),"",IF(I19="enviado",DATEVALUE(A19)+2,IF(I19="respondio",TODAY(),"")))</f>
        <v/>
      </c>
    </row>
    <row r="20" customFormat="false" ht="15" hidden="false" customHeight="false" outlineLevel="0" collapsed="false">
      <c r="A20" s="2" t="s">
        <v>52</v>
      </c>
      <c r="B20" s="2" t="s">
        <v>74</v>
      </c>
      <c r="C20" s="2" t="s">
        <v>75</v>
      </c>
      <c r="D20" s="2" t="s">
        <v>16</v>
      </c>
      <c r="E20" s="3" t="n">
        <v>24</v>
      </c>
      <c r="F20" s="3" t="n">
        <v>4.9</v>
      </c>
      <c r="G20" s="2" t="s">
        <v>17</v>
      </c>
      <c r="H20" s="2" t="s">
        <v>76</v>
      </c>
      <c r="I20" s="2" t="s">
        <v>19</v>
      </c>
      <c r="J20" s="2" t="s">
        <v>77</v>
      </c>
      <c r="K20" s="3" t="n">
        <f aca="true">IFERROR(DATEDIF(DATEVALUE(A20),TODAY(),"d"),"")</f>
        <v>14</v>
      </c>
      <c r="L20" s="2" t="str">
        <f aca="false">IF(OR(E20="",H20="",H20="anotado sin numero"),"Sin info, no aplica",IF(I20="no","Cerrado, no volver a tocar",IF(I20="vendido","Cliente, no prospectar",IF(I20="respondio","Atender la conversacion hoy",IF(I20="enviado",IF(K20&gt;=1,"Mandar seguimiento (24-48h)","Esperar respuesta"),"Enviar primer mensaje")))))</f>
        <v>Enviar primer mensaje</v>
      </c>
      <c r="M20" s="4" t="str">
        <f aca="true">IF(OR(L20="Sin info, no aplica",L20="Cerrado, no volver a tocar",L20="Cliente, no prospectar"),"",IF(I20="enviado",DATEVALUE(A20)+2,IF(I20="respondio",TODAY(),"")))</f>
        <v/>
      </c>
    </row>
    <row r="21" customFormat="false" ht="15" hidden="false" customHeight="false" outlineLevel="0" collapsed="false">
      <c r="A21" s="2" t="s">
        <v>52</v>
      </c>
      <c r="B21" s="2" t="s">
        <v>78</v>
      </c>
      <c r="C21" s="2" t="s">
        <v>79</v>
      </c>
      <c r="D21" s="2" t="s">
        <v>16</v>
      </c>
      <c r="E21" s="3" t="n">
        <v>23</v>
      </c>
      <c r="F21" s="3" t="n">
        <v>4.8</v>
      </c>
      <c r="G21" s="2" t="s">
        <v>17</v>
      </c>
      <c r="H21" s="2" t="s">
        <v>80</v>
      </c>
      <c r="I21" s="2" t="s">
        <v>19</v>
      </c>
      <c r="J21" s="2" t="s">
        <v>81</v>
      </c>
      <c r="K21" s="3" t="n">
        <f aca="true">IFERROR(DATEDIF(DATEVALUE(A21),TODAY(),"d"),"")</f>
        <v>14</v>
      </c>
      <c r="L21" s="2" t="str">
        <f aca="false">IF(OR(E21="",H21="",H21="anotado sin numero"),"Sin info, no aplica",IF(I21="no","Cerrado, no volver a tocar",IF(I21="vendido","Cliente, no prospectar",IF(I21="respondio","Atender la conversacion hoy",IF(I21="enviado",IF(K21&gt;=1,"Mandar seguimiento (24-48h)","Esperar respuesta"),"Enviar primer mensaje")))))</f>
        <v>Enviar primer mensaje</v>
      </c>
      <c r="M21" s="4" t="str">
        <f aca="true">IF(OR(L21="Sin info, no aplica",L21="Cerrado, no volver a tocar",L21="Cliente, no prospectar"),"",IF(I21="enviado",DATEVALUE(A21)+2,IF(I21="respondio",TODAY(),"")))</f>
        <v/>
      </c>
    </row>
    <row r="22" customFormat="false" ht="15" hidden="false" customHeight="false" outlineLevel="0" collapsed="false">
      <c r="A22" s="2" t="s">
        <v>52</v>
      </c>
      <c r="B22" s="2" t="s">
        <v>82</v>
      </c>
      <c r="C22" s="2" t="s">
        <v>83</v>
      </c>
      <c r="D22" s="2" t="s">
        <v>16</v>
      </c>
      <c r="E22" s="3" t="n">
        <v>16</v>
      </c>
      <c r="F22" s="3" t="n">
        <v>4.4</v>
      </c>
      <c r="G22" s="2" t="s">
        <v>17</v>
      </c>
      <c r="H22" s="2" t="s">
        <v>84</v>
      </c>
      <c r="I22" s="2" t="s">
        <v>19</v>
      </c>
      <c r="J22" s="2" t="s">
        <v>85</v>
      </c>
      <c r="K22" s="3" t="n">
        <f aca="true">IFERROR(DATEDIF(DATEVALUE(A22),TODAY(),"d"),"")</f>
        <v>14</v>
      </c>
      <c r="L22" s="2" t="str">
        <f aca="false">IF(OR(E22="",H22="",H22="anotado sin numero"),"Sin info, no aplica",IF(I22="no","Cerrado, no volver a tocar",IF(I22="vendido","Cliente, no prospectar",IF(I22="respondio","Atender la conversacion hoy",IF(I22="enviado",IF(K22&gt;=1,"Mandar seguimiento (24-48h)","Esperar respuesta"),"Enviar primer mensaje")))))</f>
        <v>Enviar primer mensaje</v>
      </c>
      <c r="M22" s="4" t="str">
        <f aca="true">IF(OR(L22="Sin info, no aplica",L22="Cerrado, no volver a tocar",L22="Cliente, no prospectar"),"",IF(I22="enviado",DATEVALUE(A22)+2,IF(I22="respondio",TODAY(),"")))</f>
        <v/>
      </c>
    </row>
    <row r="23" customFormat="false" ht="15" hidden="false" customHeight="false" outlineLevel="0" collapsed="false">
      <c r="A23" s="2" t="s">
        <v>52</v>
      </c>
      <c r="B23" s="2" t="s">
        <v>86</v>
      </c>
      <c r="C23" s="2" t="s">
        <v>87</v>
      </c>
      <c r="D23" s="2" t="s">
        <v>16</v>
      </c>
      <c r="E23" s="3" t="n">
        <v>31</v>
      </c>
      <c r="F23" s="3" t="n">
        <v>4.8</v>
      </c>
      <c r="G23" s="2" t="s">
        <v>17</v>
      </c>
      <c r="H23" s="2" t="s">
        <v>88</v>
      </c>
      <c r="I23" s="2" t="s">
        <v>19</v>
      </c>
      <c r="J23" s="2" t="s">
        <v>89</v>
      </c>
      <c r="K23" s="3" t="n">
        <f aca="true">IFERROR(DATEDIF(DATEVALUE(A23),TODAY(),"d"),"")</f>
        <v>14</v>
      </c>
      <c r="L23" s="2" t="str">
        <f aca="false">IF(OR(E23="",H23="",H23="anotado sin numero"),"Sin info, no aplica",IF(I23="no","Cerrado, no volver a tocar",IF(I23="vendido","Cliente, no prospectar",IF(I23="respondio","Atender la conversacion hoy",IF(I23="enviado",IF(K23&gt;=1,"Mandar seguimiento (24-48h)","Esperar respuesta"),"Enviar primer mensaje")))))</f>
        <v>Enviar primer mensaje</v>
      </c>
      <c r="M23" s="4" t="str">
        <f aca="true">IF(OR(L23="Sin info, no aplica",L23="Cerrado, no volver a tocar",L23="Cliente, no prospectar"),"",IF(I23="enviado",DATEVALUE(A23)+2,IF(I23="respondio",TODAY(),"")))</f>
        <v/>
      </c>
    </row>
    <row r="24" customFormat="false" ht="15" hidden="false" customHeight="false" outlineLevel="0" collapsed="false">
      <c r="A24" s="2" t="s">
        <v>52</v>
      </c>
      <c r="B24" s="2" t="s">
        <v>90</v>
      </c>
      <c r="C24" s="2" t="s">
        <v>83</v>
      </c>
      <c r="D24" s="2" t="s">
        <v>16</v>
      </c>
      <c r="E24" s="3" t="n">
        <v>26</v>
      </c>
      <c r="F24" s="3" t="n">
        <v>4.5</v>
      </c>
      <c r="G24" s="2" t="s">
        <v>17</v>
      </c>
      <c r="H24" s="2" t="s">
        <v>91</v>
      </c>
      <c r="I24" s="2" t="s">
        <v>19</v>
      </c>
      <c r="J24" s="2" t="s">
        <v>92</v>
      </c>
      <c r="K24" s="3" t="n">
        <f aca="true">IFERROR(DATEDIF(DATEVALUE(A24),TODAY(),"d"),"")</f>
        <v>14</v>
      </c>
      <c r="L24" s="2" t="str">
        <f aca="false">IF(OR(E24="",H24="",H24="anotado sin numero"),"Sin info, no aplica",IF(I24="no","Cerrado, no volver a tocar",IF(I24="vendido","Cliente, no prospectar",IF(I24="respondio","Atender la conversacion hoy",IF(I24="enviado",IF(K24&gt;=1,"Mandar seguimiento (24-48h)","Esperar respuesta"),"Enviar primer mensaje")))))</f>
        <v>Enviar primer mensaje</v>
      </c>
      <c r="M24" s="4" t="str">
        <f aca="true">IF(OR(L24="Sin info, no aplica",L24="Cerrado, no volver a tocar",L24="Cliente, no prospectar"),"",IF(I24="enviado",DATEVALUE(A24)+2,IF(I24="respondio",TODAY(),"")))</f>
        <v/>
      </c>
    </row>
    <row r="25" customFormat="false" ht="15" hidden="false" customHeight="false" outlineLevel="0" collapsed="false">
      <c r="A25" s="2" t="s">
        <v>52</v>
      </c>
      <c r="B25" s="2" t="s">
        <v>93</v>
      </c>
      <c r="C25" s="2" t="s">
        <v>94</v>
      </c>
      <c r="D25" s="2" t="s">
        <v>16</v>
      </c>
      <c r="E25" s="3" t="n">
        <v>29</v>
      </c>
      <c r="F25" s="3" t="n">
        <v>4.5</v>
      </c>
      <c r="G25" s="2" t="s">
        <v>49</v>
      </c>
      <c r="H25" s="2" t="s">
        <v>95</v>
      </c>
      <c r="I25" s="2" t="s">
        <v>19</v>
      </c>
      <c r="J25" s="2" t="s">
        <v>96</v>
      </c>
      <c r="K25" s="3" t="n">
        <f aca="true">IFERROR(DATEDIF(DATEVALUE(A25),TODAY(),"d"),"")</f>
        <v>14</v>
      </c>
      <c r="L25" s="2" t="str">
        <f aca="false">IF(OR(E25="",H25="",H25="anotado sin numero"),"Sin info, no aplica",IF(I25="no","Cerrado, no volver a tocar",IF(I25="vendido","Cliente, no prospectar",IF(I25="respondio","Atender la conversacion hoy",IF(I25="enviado",IF(K25&gt;=1,"Mandar seguimiento (24-48h)","Esperar respuesta"),"Enviar primer mensaje")))))</f>
        <v>Enviar primer mensaje</v>
      </c>
      <c r="M25" s="4" t="str">
        <f aca="true">IF(OR(L25="Sin info, no aplica",L25="Cerrado, no volver a tocar",L25="Cliente, no prospectar"),"",IF(I25="enviado",DATEVALUE(A25)+2,IF(I25="respondio",TODAY(),"")))</f>
        <v/>
      </c>
    </row>
    <row r="26" customFormat="false" ht="15" hidden="false" customHeight="false" outlineLevel="0" collapsed="false">
      <c r="A26" s="2" t="s">
        <v>52</v>
      </c>
      <c r="B26" s="2" t="s">
        <v>97</v>
      </c>
      <c r="C26" s="2" t="s">
        <v>98</v>
      </c>
      <c r="D26" s="2" t="s">
        <v>99</v>
      </c>
      <c r="E26" s="3" t="n">
        <v>12</v>
      </c>
      <c r="F26" s="3" t="n">
        <v>4.8</v>
      </c>
      <c r="G26" s="2" t="s">
        <v>17</v>
      </c>
      <c r="H26" s="2" t="s">
        <v>100</v>
      </c>
      <c r="I26" s="2" t="s">
        <v>19</v>
      </c>
      <c r="J26" s="2" t="s">
        <v>101</v>
      </c>
      <c r="K26" s="3" t="n">
        <f aca="true">IFERROR(DATEDIF(DATEVALUE(A26),TODAY(),"d"),"")</f>
        <v>14</v>
      </c>
      <c r="L26" s="2" t="str">
        <f aca="false">IF(OR(E26="",H26="",H26="anotado sin numero"),"Sin info, no aplica",IF(I26="no","Cerrado, no volver a tocar",IF(I26="vendido","Cliente, no prospectar",IF(I26="respondio","Atender la conversacion hoy",IF(I26="enviado",IF(K26&gt;=1,"Mandar seguimiento (24-48h)","Esperar respuesta"),"Enviar primer mensaje")))))</f>
        <v>Enviar primer mensaje</v>
      </c>
      <c r="M26" s="4" t="str">
        <f aca="true">IF(OR(L26="Sin info, no aplica",L26="Cerrado, no volver a tocar",L26="Cliente, no prospectar"),"",IF(I26="enviado",DATEVALUE(A26)+2,IF(I26="respondio",TODAY(),"")))</f>
        <v/>
      </c>
    </row>
    <row r="27" customFormat="false" ht="15" hidden="false" customHeight="false" outlineLevel="0" collapsed="false">
      <c r="A27" s="2" t="s">
        <v>52</v>
      </c>
      <c r="B27" s="2" t="s">
        <v>102</v>
      </c>
      <c r="C27" s="2" t="s">
        <v>98</v>
      </c>
      <c r="D27" s="2" t="s">
        <v>103</v>
      </c>
      <c r="E27" s="3" t="n">
        <v>1</v>
      </c>
      <c r="F27" s="3" t="n">
        <v>5</v>
      </c>
      <c r="G27" s="2" t="s">
        <v>49</v>
      </c>
      <c r="H27" s="2" t="s">
        <v>104</v>
      </c>
      <c r="I27" s="2" t="s">
        <v>19</v>
      </c>
      <c r="J27" s="2" t="s">
        <v>105</v>
      </c>
      <c r="K27" s="3" t="n">
        <f aca="true">IFERROR(DATEDIF(DATEVALUE(A27),TODAY(),"d"),"")</f>
        <v>14</v>
      </c>
      <c r="L27" s="2" t="str">
        <f aca="false">IF(OR(E27="",H27="",H27="anotado sin numero"),"Sin info, no aplica",IF(I27="no","Cerrado, no volver a tocar",IF(I27="vendido","Cliente, no prospectar",IF(I27="respondio","Atender la conversacion hoy",IF(I27="enviado",IF(K27&gt;=1,"Mandar seguimiento (24-48h)","Esperar respuesta"),"Enviar primer mensaje")))))</f>
        <v>Enviar primer mensaje</v>
      </c>
      <c r="M27" s="4" t="str">
        <f aca="true">IF(OR(L27="Sin info, no aplica",L27="Cerrado, no volver a tocar",L27="Cliente, no prospectar"),"",IF(I27="enviado",DATEVALUE(A27)+2,IF(I27="respondio",TODAY(),"")))</f>
        <v/>
      </c>
    </row>
    <row r="28" customFormat="false" ht="15" hidden="false" customHeight="false" outlineLevel="0" collapsed="false">
      <c r="A28" s="2" t="s">
        <v>52</v>
      </c>
      <c r="B28" s="2" t="s">
        <v>106</v>
      </c>
      <c r="C28" s="2" t="s">
        <v>107</v>
      </c>
      <c r="D28" s="2" t="s">
        <v>16</v>
      </c>
      <c r="E28" s="3" t="n">
        <v>7</v>
      </c>
      <c r="F28" s="3" t="n">
        <v>5</v>
      </c>
      <c r="G28" s="2" t="s">
        <v>17</v>
      </c>
      <c r="H28" s="2" t="s">
        <v>108</v>
      </c>
      <c r="I28" s="2" t="s">
        <v>19</v>
      </c>
      <c r="J28" s="2" t="s">
        <v>109</v>
      </c>
      <c r="K28" s="3" t="n">
        <f aca="true">IFERROR(DATEDIF(DATEVALUE(A28),TODAY(),"d"),"")</f>
        <v>14</v>
      </c>
      <c r="L28" s="2" t="str">
        <f aca="false">IF(OR(E28="",H28="",H28="anotado sin numero"),"Sin info, no aplica",IF(I28="no","Cerrado, no volver a tocar",IF(I28="vendido","Cliente, no prospectar",IF(I28="respondio","Atender la conversacion hoy",IF(I28="enviado",IF(K28&gt;=1,"Mandar seguimiento (24-48h)","Esperar respuesta"),"Enviar primer mensaje")))))</f>
        <v>Enviar primer mensaje</v>
      </c>
      <c r="M28" s="4" t="str">
        <f aca="true">IF(OR(L28="Sin info, no aplica",L28="Cerrado, no volver a tocar",L28="Cliente, no prospectar"),"",IF(I28="enviado",DATEVALUE(A28)+2,IF(I28="respondio",TODAY(),"")))</f>
        <v/>
      </c>
    </row>
    <row r="29" customFormat="false" ht="15" hidden="false" customHeight="false" outlineLevel="0" collapsed="false">
      <c r="A29" s="2" t="s">
        <v>52</v>
      </c>
      <c r="B29" s="2" t="s">
        <v>110</v>
      </c>
      <c r="C29" s="2" t="s">
        <v>111</v>
      </c>
      <c r="D29" s="2" t="s">
        <v>16</v>
      </c>
      <c r="E29" s="3" t="n">
        <v>1</v>
      </c>
      <c r="F29" s="3" t="n">
        <v>5</v>
      </c>
      <c r="G29" s="2" t="s">
        <v>17</v>
      </c>
      <c r="H29" s="2" t="s">
        <v>112</v>
      </c>
      <c r="I29" s="2" t="s">
        <v>19</v>
      </c>
      <c r="J29" s="2" t="s">
        <v>113</v>
      </c>
      <c r="K29" s="3" t="n">
        <f aca="true">IFERROR(DATEDIF(DATEVALUE(A29),TODAY(),"d"),"")</f>
        <v>14</v>
      </c>
      <c r="L29" s="2" t="str">
        <f aca="false">IF(OR(E29="",H29="",H29="anotado sin numero"),"Sin info, no aplica",IF(I29="no","Cerrado, no volver a tocar",IF(I29="vendido","Cliente, no prospectar",IF(I29="respondio","Atender la conversacion hoy",IF(I29="enviado",IF(K29&gt;=1,"Mandar seguimiento (24-48h)","Esperar respuesta"),"Enviar primer mensaje")))))</f>
        <v>Enviar primer mensaje</v>
      </c>
      <c r="M29" s="4" t="str">
        <f aca="true">IF(OR(L29="Sin info, no aplica",L29="Cerrado, no volver a tocar",L29="Cliente, no prospectar"),"",IF(I29="enviado",DATEVALUE(A29)+2,IF(I29="respondio",TODAY(),"")))</f>
        <v/>
      </c>
    </row>
    <row r="30" customFormat="false" ht="15" hidden="false" customHeight="false" outlineLevel="0" collapsed="false">
      <c r="A30" s="2" t="s">
        <v>52</v>
      </c>
      <c r="B30" s="2" t="s">
        <v>114</v>
      </c>
      <c r="C30" s="2" t="s">
        <v>111</v>
      </c>
      <c r="D30" s="2" t="s">
        <v>16</v>
      </c>
      <c r="E30" s="3" t="n">
        <v>1</v>
      </c>
      <c r="F30" s="3" t="n">
        <v>5</v>
      </c>
      <c r="G30" s="2" t="s">
        <v>17</v>
      </c>
      <c r="H30" s="2" t="s">
        <v>115</v>
      </c>
      <c r="I30" s="2" t="s">
        <v>19</v>
      </c>
      <c r="J30" s="2" t="s">
        <v>116</v>
      </c>
      <c r="K30" s="3" t="n">
        <f aca="true">IFERROR(DATEDIF(DATEVALUE(A30),TODAY(),"d"),"")</f>
        <v>14</v>
      </c>
      <c r="L30" s="2" t="str">
        <f aca="false">IF(OR(E30="",H30="",H30="anotado sin numero"),"Sin info, no aplica",IF(I30="no","Cerrado, no volver a tocar",IF(I30="vendido","Cliente, no prospectar",IF(I30="respondio","Atender la conversacion hoy",IF(I30="enviado",IF(K30&gt;=1,"Mandar seguimiento (24-48h)","Esperar respuesta"),"Enviar primer mensaje")))))</f>
        <v>Enviar primer mensaje</v>
      </c>
      <c r="M30" s="4" t="str">
        <f aca="true">IF(OR(L30="Sin info, no aplica",L30="Cerrado, no volver a tocar",L30="Cliente, no prospectar"),"",IF(I30="enviado",DATEVALUE(A30)+2,IF(I30="respondio",TODAY(),"")))</f>
        <v/>
      </c>
    </row>
    <row r="31" customFormat="false" ht="15" hidden="false" customHeight="false" outlineLevel="0" collapsed="false">
      <c r="A31" s="2" t="s">
        <v>52</v>
      </c>
      <c r="B31" s="2" t="s">
        <v>117</v>
      </c>
      <c r="C31" s="2" t="s">
        <v>65</v>
      </c>
      <c r="D31" s="2" t="s">
        <v>16</v>
      </c>
      <c r="E31" s="3" t="n">
        <v>11</v>
      </c>
      <c r="F31" s="3" t="n">
        <v>4.9</v>
      </c>
      <c r="G31" s="2" t="s">
        <v>17</v>
      </c>
      <c r="H31" s="2" t="s">
        <v>118</v>
      </c>
      <c r="I31" s="2" t="s">
        <v>19</v>
      </c>
      <c r="J31" s="2" t="s">
        <v>119</v>
      </c>
      <c r="K31" s="3" t="n">
        <f aca="true">IFERROR(DATEDIF(DATEVALUE(A31),TODAY(),"d"),"")</f>
        <v>14</v>
      </c>
      <c r="L31" s="2" t="str">
        <f aca="false">IF(OR(E31="",H31="",H31="anotado sin numero"),"Sin info, no aplica",IF(I31="no","Cerrado, no volver a tocar",IF(I31="vendido","Cliente, no prospectar",IF(I31="respondio","Atender la conversacion hoy",IF(I31="enviado",IF(K31&gt;=1,"Mandar seguimiento (24-48h)","Esperar respuesta"),"Enviar primer mensaje")))))</f>
        <v>Enviar primer mensaje</v>
      </c>
      <c r="M31" s="4" t="str">
        <f aca="true">IF(OR(L31="Sin info, no aplica",L31="Cerrado, no volver a tocar",L31="Cliente, no prospectar"),"",IF(I31="enviado",DATEVALUE(A31)+2,IF(I31="respondio",TODAY(),"")))</f>
        <v/>
      </c>
    </row>
    <row r="32" customFormat="false" ht="15" hidden="false" customHeight="false" outlineLevel="0" collapsed="false">
      <c r="A32" s="2" t="s">
        <v>52</v>
      </c>
      <c r="B32" s="2" t="s">
        <v>120</v>
      </c>
      <c r="C32" s="2" t="s">
        <v>121</v>
      </c>
      <c r="D32" s="2" t="s">
        <v>16</v>
      </c>
      <c r="E32" s="3" t="n">
        <v>5</v>
      </c>
      <c r="F32" s="3" t="n">
        <v>5</v>
      </c>
      <c r="G32" s="2" t="s">
        <v>17</v>
      </c>
      <c r="H32" s="2" t="s">
        <v>122</v>
      </c>
      <c r="I32" s="2" t="s">
        <v>19</v>
      </c>
      <c r="J32" s="2" t="s">
        <v>123</v>
      </c>
      <c r="K32" s="3" t="n">
        <f aca="true">IFERROR(DATEDIF(DATEVALUE(A32),TODAY(),"d"),"")</f>
        <v>14</v>
      </c>
      <c r="L32" s="2" t="str">
        <f aca="false">IF(OR(E32="",H32="",H32="anotado sin numero"),"Sin info, no aplica",IF(I32="no","Cerrado, no volver a tocar",IF(I32="vendido","Cliente, no prospectar",IF(I32="respondio","Atender la conversacion hoy",IF(I32="enviado",IF(K32&gt;=1,"Mandar seguimiento (24-48h)","Esperar respuesta"),"Enviar primer mensaje")))))</f>
        <v>Enviar primer mensaje</v>
      </c>
      <c r="M32" s="4" t="str">
        <f aca="true">IF(OR(L32="Sin info, no aplica",L32="Cerrado, no volver a tocar",L32="Cliente, no prospectar"),"",IF(I32="enviado",DATEVALUE(A32)+2,IF(I32="respondio",TODAY(),"")))</f>
        <v/>
      </c>
    </row>
    <row r="33" customFormat="false" ht="15" hidden="false" customHeight="false" outlineLevel="0" collapsed="false">
      <c r="A33" s="2" t="s">
        <v>52</v>
      </c>
      <c r="B33" s="2" t="s">
        <v>124</v>
      </c>
      <c r="C33" s="2" t="s">
        <v>65</v>
      </c>
      <c r="D33" s="2" t="s">
        <v>16</v>
      </c>
      <c r="E33" s="3" t="n">
        <v>1</v>
      </c>
      <c r="F33" s="3" t="n">
        <v>5</v>
      </c>
      <c r="G33" s="2" t="s">
        <v>17</v>
      </c>
      <c r="H33" s="2" t="s">
        <v>125</v>
      </c>
      <c r="I33" s="2" t="s">
        <v>19</v>
      </c>
      <c r="J33" s="2" t="s">
        <v>119</v>
      </c>
      <c r="K33" s="3" t="n">
        <f aca="true">IFERROR(DATEDIF(DATEVALUE(A33),TODAY(),"d"),"")</f>
        <v>14</v>
      </c>
      <c r="L33" s="2" t="str">
        <f aca="false">IF(OR(E33="",H33="",H33="anotado sin numero"),"Sin info, no aplica",IF(I33="no","Cerrado, no volver a tocar",IF(I33="vendido","Cliente, no prospectar",IF(I33="respondio","Atender la conversacion hoy",IF(I33="enviado",IF(K33&gt;=1,"Mandar seguimiento (24-48h)","Esperar respuesta"),"Enviar primer mensaje")))))</f>
        <v>Enviar primer mensaje</v>
      </c>
      <c r="M33" s="4" t="str">
        <f aca="true">IF(OR(L33="Sin info, no aplica",L33="Cerrado, no volver a tocar",L33="Cliente, no prospectar"),"",IF(I33="enviado",DATEVALUE(A33)+2,IF(I33="respondio",TODAY(),"")))</f>
        <v/>
      </c>
    </row>
    <row r="34" customFormat="false" ht="15" hidden="false" customHeight="false" outlineLevel="0" collapsed="false">
      <c r="A34" s="2" t="s">
        <v>52</v>
      </c>
      <c r="B34" s="2" t="s">
        <v>126</v>
      </c>
      <c r="C34" s="2" t="s">
        <v>127</v>
      </c>
      <c r="D34" s="2" t="s">
        <v>16</v>
      </c>
      <c r="E34" s="3" t="n">
        <v>3</v>
      </c>
      <c r="F34" s="3" t="n">
        <v>5</v>
      </c>
      <c r="G34" s="2" t="s">
        <v>17</v>
      </c>
      <c r="H34" s="2" t="s">
        <v>128</v>
      </c>
      <c r="I34" s="2" t="s">
        <v>19</v>
      </c>
      <c r="J34" s="2" t="s">
        <v>129</v>
      </c>
      <c r="K34" s="3" t="n">
        <f aca="true">IFERROR(DATEDIF(DATEVALUE(A34),TODAY(),"d"),"")</f>
        <v>14</v>
      </c>
      <c r="L34" s="2" t="str">
        <f aca="false">IF(OR(E34="",H34="",H34="anotado sin numero"),"Sin info, no aplica",IF(I34="no","Cerrado, no volver a tocar",IF(I34="vendido","Cliente, no prospectar",IF(I34="respondio","Atender la conversacion hoy",IF(I34="enviado",IF(K34&gt;=1,"Mandar seguimiento (24-48h)","Esperar respuesta"),"Enviar primer mensaje")))))</f>
        <v>Enviar primer mensaje</v>
      </c>
      <c r="M34" s="4" t="str">
        <f aca="true">IF(OR(L34="Sin info, no aplica",L34="Cerrado, no volver a tocar",L34="Cliente, no prospectar"),"",IF(I34="enviado",DATEVALUE(A34)+2,IF(I34="respondio",TODAY(),"")))</f>
        <v/>
      </c>
    </row>
    <row r="35" customFormat="false" ht="15" hidden="false" customHeight="false" outlineLevel="0" collapsed="false">
      <c r="A35" s="2" t="s">
        <v>52</v>
      </c>
      <c r="B35" s="2" t="s">
        <v>130</v>
      </c>
      <c r="C35" s="2" t="s">
        <v>131</v>
      </c>
      <c r="D35" s="2" t="s">
        <v>16</v>
      </c>
      <c r="E35" s="3" t="n">
        <v>1</v>
      </c>
      <c r="F35" s="3" t="n">
        <v>5</v>
      </c>
      <c r="G35" s="2" t="s">
        <v>17</v>
      </c>
      <c r="H35" s="2" t="s">
        <v>132</v>
      </c>
      <c r="I35" s="2" t="s">
        <v>19</v>
      </c>
      <c r="J35" s="2" t="s">
        <v>129</v>
      </c>
      <c r="K35" s="3" t="n">
        <f aca="true">IFERROR(DATEDIF(DATEVALUE(A35),TODAY(),"d"),"")</f>
        <v>14</v>
      </c>
      <c r="L35" s="2" t="str">
        <f aca="false">IF(OR(E35="",H35="",H35="anotado sin numero"),"Sin info, no aplica",IF(I35="no","Cerrado, no volver a tocar",IF(I35="vendido","Cliente, no prospectar",IF(I35="respondio","Atender la conversacion hoy",IF(I35="enviado",IF(K35&gt;=1,"Mandar seguimiento (24-48h)","Esperar respuesta"),"Enviar primer mensaje")))))</f>
        <v>Enviar primer mensaje</v>
      </c>
      <c r="M35" s="4" t="str">
        <f aca="true">IF(OR(L35="Sin info, no aplica",L35="Cerrado, no volver a tocar",L35="Cliente, no prospectar"),"",IF(I35="enviado",DATEVALUE(A35)+2,IF(I35="respondio",TODAY(),"")))</f>
        <v/>
      </c>
    </row>
    <row r="36" customFormat="false" ht="15" hidden="false" customHeight="false" outlineLevel="0" collapsed="false">
      <c r="A36" s="2" t="s">
        <v>52</v>
      </c>
      <c r="B36" s="2" t="s">
        <v>133</v>
      </c>
      <c r="C36" s="2" t="s">
        <v>134</v>
      </c>
      <c r="D36" s="2" t="s">
        <v>16</v>
      </c>
      <c r="E36" s="3" t="n">
        <v>7</v>
      </c>
      <c r="F36" s="3" t="n">
        <v>4.9</v>
      </c>
      <c r="G36" s="2" t="s">
        <v>17</v>
      </c>
      <c r="H36" s="2" t="s">
        <v>135</v>
      </c>
      <c r="I36" s="2" t="s">
        <v>19</v>
      </c>
      <c r="J36" s="2" t="s">
        <v>136</v>
      </c>
      <c r="K36" s="3" t="n">
        <f aca="true">IFERROR(DATEDIF(DATEVALUE(A36),TODAY(),"d"),"")</f>
        <v>14</v>
      </c>
      <c r="L36" s="2" t="str">
        <f aca="false">IF(OR(E36="",H36="",H36="anotado sin numero"),"Sin info, no aplica",IF(I36="no","Cerrado, no volver a tocar",IF(I36="vendido","Cliente, no prospectar",IF(I36="respondio","Atender la conversacion hoy",IF(I36="enviado",IF(K36&gt;=1,"Mandar seguimiento (24-48h)","Esperar respuesta"),"Enviar primer mensaje")))))</f>
        <v>Enviar primer mensaje</v>
      </c>
      <c r="M36" s="4" t="str">
        <f aca="true">IF(OR(L36="Sin info, no aplica",L36="Cerrado, no volver a tocar",L36="Cliente, no prospectar"),"",IF(I36="enviado",DATEVALUE(A36)+2,IF(I36="respondio",TODAY(),"")))</f>
        <v/>
      </c>
    </row>
    <row r="37" customFormat="false" ht="15" hidden="false" customHeight="false" outlineLevel="0" collapsed="false">
      <c r="A37" s="2" t="s">
        <v>52</v>
      </c>
      <c r="B37" s="2" t="s">
        <v>137</v>
      </c>
      <c r="C37" s="2" t="s">
        <v>138</v>
      </c>
      <c r="D37" s="2" t="s">
        <v>16</v>
      </c>
      <c r="E37" s="3" t="n">
        <v>10</v>
      </c>
      <c r="F37" s="3" t="n">
        <v>5</v>
      </c>
      <c r="G37" s="2" t="s">
        <v>17</v>
      </c>
      <c r="H37" s="2" t="s">
        <v>139</v>
      </c>
      <c r="I37" s="2" t="s">
        <v>19</v>
      </c>
      <c r="J37" s="2" t="s">
        <v>140</v>
      </c>
      <c r="K37" s="3" t="n">
        <f aca="true">IFERROR(DATEDIF(DATEVALUE(A37),TODAY(),"d"),"")</f>
        <v>14</v>
      </c>
      <c r="L37" s="2" t="str">
        <f aca="false">IF(OR(E37="",H37="",H37="anotado sin numero"),"Sin info, no aplica",IF(I37="no","Cerrado, no volver a tocar",IF(I37="vendido","Cliente, no prospectar",IF(I37="respondio","Atender la conversacion hoy",IF(I37="enviado",IF(K37&gt;=1,"Mandar seguimiento (24-48h)","Esperar respuesta"),"Enviar primer mensaje")))))</f>
        <v>Enviar primer mensaje</v>
      </c>
      <c r="M37" s="4" t="str">
        <f aca="true">IF(OR(L37="Sin info, no aplica",L37="Cerrado, no volver a tocar",L37="Cliente, no prospectar"),"",IF(I37="enviado",DATEVALUE(A37)+2,IF(I37="respondio",TODAY(),"")))</f>
        <v/>
      </c>
    </row>
    <row r="38" customFormat="false" ht="15" hidden="false" customHeight="false" outlineLevel="0" collapsed="false">
      <c r="A38" s="2" t="s">
        <v>141</v>
      </c>
      <c r="B38" s="2" t="s">
        <v>142</v>
      </c>
      <c r="C38" s="2" t="s">
        <v>143</v>
      </c>
      <c r="D38" s="2" t="s">
        <v>16</v>
      </c>
      <c r="E38" s="3" t="n">
        <v>20</v>
      </c>
      <c r="F38" s="3" t="n">
        <v>4.9</v>
      </c>
      <c r="G38" s="2" t="s">
        <v>17</v>
      </c>
      <c r="H38" s="2" t="s">
        <v>144</v>
      </c>
      <c r="I38" s="2" t="s">
        <v>19</v>
      </c>
      <c r="J38" s="2" t="s">
        <v>145</v>
      </c>
      <c r="K38" s="3" t="n">
        <f aca="true">IFERROR(DATEDIF(DATEVALUE(A38),TODAY(),"d"),"")</f>
        <v>13</v>
      </c>
      <c r="L38" s="2" t="str">
        <f aca="false">IF(OR(E38="",H38="",H38="anotado sin numero"),"Sin info, no aplica",IF(I38="no","Cerrado, no volver a tocar",IF(I38="vendido","Cliente, no prospectar",IF(I38="respondio","Atender la conversacion hoy",IF(I38="enviado",IF(K38&gt;=1,"Mandar seguimiento (24-48h)","Esperar respuesta"),"Enviar primer mensaje")))))</f>
        <v>Enviar primer mensaje</v>
      </c>
      <c r="M38" s="4" t="str">
        <f aca="true">IF(OR(L38="Sin info, no aplica",L38="Cerrado, no volver a tocar",L38="Cliente, no prospectar"),"",IF(I38="enviado",DATEVALUE(A38)+2,IF(I38="respondio",TODAY(),"")))</f>
        <v/>
      </c>
    </row>
    <row r="39" customFormat="false" ht="15" hidden="false" customHeight="false" outlineLevel="0" collapsed="false">
      <c r="A39" s="2" t="s">
        <v>141</v>
      </c>
      <c r="B39" s="2" t="s">
        <v>146</v>
      </c>
      <c r="C39" s="2" t="s">
        <v>143</v>
      </c>
      <c r="D39" s="2" t="s">
        <v>16</v>
      </c>
      <c r="E39" s="3" t="n">
        <v>3</v>
      </c>
      <c r="F39" s="3" t="n">
        <v>4.7</v>
      </c>
      <c r="G39" s="2" t="s">
        <v>17</v>
      </c>
      <c r="H39" s="2" t="s">
        <v>147</v>
      </c>
      <c r="I39" s="2" t="s">
        <v>19</v>
      </c>
      <c r="J39" s="2" t="s">
        <v>145</v>
      </c>
      <c r="K39" s="3" t="n">
        <f aca="true">IFERROR(DATEDIF(DATEVALUE(A39),TODAY(),"d"),"")</f>
        <v>13</v>
      </c>
      <c r="L39" s="2" t="str">
        <f aca="false">IF(OR(E39="",H39="",H39="anotado sin numero"),"Sin info, no aplica",IF(I39="no","Cerrado, no volver a tocar",IF(I39="vendido","Cliente, no prospectar",IF(I39="respondio","Atender la conversacion hoy",IF(I39="enviado",IF(K39&gt;=1,"Mandar seguimiento (24-48h)","Esperar respuesta"),"Enviar primer mensaje")))))</f>
        <v>Enviar primer mensaje</v>
      </c>
      <c r="M39" s="4" t="str">
        <f aca="true">IF(OR(L39="Sin info, no aplica",L39="Cerrado, no volver a tocar",L39="Cliente, no prospectar"),"",IF(I39="enviado",DATEVALUE(A39)+2,IF(I39="respondio",TODAY(),"")))</f>
        <v/>
      </c>
    </row>
    <row r="40" customFormat="false" ht="15" hidden="false" customHeight="false" outlineLevel="0" collapsed="false">
      <c r="A40" s="2" t="s">
        <v>141</v>
      </c>
      <c r="B40" s="2" t="s">
        <v>148</v>
      </c>
      <c r="C40" s="2" t="s">
        <v>149</v>
      </c>
      <c r="D40" s="2" t="s">
        <v>16</v>
      </c>
      <c r="E40" s="3" t="n">
        <v>1</v>
      </c>
      <c r="F40" s="3" t="n">
        <v>5</v>
      </c>
      <c r="G40" s="2" t="s">
        <v>17</v>
      </c>
      <c r="H40" s="2" t="s">
        <v>150</v>
      </c>
      <c r="I40" s="2" t="s">
        <v>19</v>
      </c>
      <c r="J40" s="2" t="s">
        <v>151</v>
      </c>
      <c r="K40" s="3" t="n">
        <f aca="true">IFERROR(DATEDIF(DATEVALUE(A40),TODAY(),"d"),"")</f>
        <v>13</v>
      </c>
      <c r="L40" s="2" t="str">
        <f aca="false">IF(OR(E40="",H40="",H40="anotado sin numero"),"Sin info, no aplica",IF(I40="no","Cerrado, no volver a tocar",IF(I40="vendido","Cliente, no prospectar",IF(I40="respondio","Atender la conversacion hoy",IF(I40="enviado",IF(K40&gt;=1,"Mandar seguimiento (24-48h)","Esperar respuesta"),"Enviar primer mensaje")))))</f>
        <v>Enviar primer mensaje</v>
      </c>
      <c r="M40" s="4" t="str">
        <f aca="true">IF(OR(L40="Sin info, no aplica",L40="Cerrado, no volver a tocar",L40="Cliente, no prospectar"),"",IF(I40="enviado",DATEVALUE(A40)+2,IF(I40="respondio",TODAY(),"")))</f>
        <v/>
      </c>
    </row>
    <row r="41" customFormat="false" ht="15" hidden="false" customHeight="false" outlineLevel="0" collapsed="false">
      <c r="A41" s="2" t="s">
        <v>141</v>
      </c>
      <c r="B41" s="2" t="s">
        <v>152</v>
      </c>
      <c r="C41" s="2" t="s">
        <v>153</v>
      </c>
      <c r="D41" s="2" t="s">
        <v>103</v>
      </c>
      <c r="E41" s="3" t="n">
        <v>3</v>
      </c>
      <c r="F41" s="3" t="n">
        <v>5</v>
      </c>
      <c r="G41" s="2" t="s">
        <v>17</v>
      </c>
      <c r="H41" s="2" t="s">
        <v>154</v>
      </c>
      <c r="I41" s="2" t="s">
        <v>19</v>
      </c>
      <c r="J41" s="2" t="s">
        <v>155</v>
      </c>
      <c r="K41" s="3" t="n">
        <f aca="true">IFERROR(DATEDIF(DATEVALUE(A41),TODAY(),"d"),"")</f>
        <v>13</v>
      </c>
      <c r="L41" s="2" t="str">
        <f aca="false">IF(OR(E41="",H41="",H41="anotado sin numero"),"Sin info, no aplica",IF(I41="no","Cerrado, no volver a tocar",IF(I41="vendido","Cliente, no prospectar",IF(I41="respondio","Atender la conversacion hoy",IF(I41="enviado",IF(K41&gt;=1,"Mandar seguimiento (24-48h)","Esperar respuesta"),"Enviar primer mensaje")))))</f>
        <v>Enviar primer mensaje</v>
      </c>
      <c r="M41" s="4" t="str">
        <f aca="true">IF(OR(L41="Sin info, no aplica",L41="Cerrado, no volver a tocar",L41="Cliente, no prospectar"),"",IF(I41="enviado",DATEVALUE(A41)+2,IF(I41="respondio",TODAY(),"")))</f>
        <v/>
      </c>
    </row>
    <row r="42" customFormat="false" ht="15" hidden="false" customHeight="false" outlineLevel="0" collapsed="false">
      <c r="A42" s="2" t="s">
        <v>141</v>
      </c>
      <c r="B42" s="2" t="s">
        <v>156</v>
      </c>
      <c r="C42" s="2" t="s">
        <v>153</v>
      </c>
      <c r="D42" s="2" t="s">
        <v>157</v>
      </c>
      <c r="E42" s="3" t="n">
        <v>23</v>
      </c>
      <c r="F42" s="3" t="n">
        <v>4.4</v>
      </c>
      <c r="G42" s="2" t="s">
        <v>17</v>
      </c>
      <c r="H42" s="2" t="s">
        <v>158</v>
      </c>
      <c r="I42" s="2" t="s">
        <v>159</v>
      </c>
      <c r="J42" s="2" t="s">
        <v>160</v>
      </c>
      <c r="K42" s="3" t="n">
        <f aca="true">IFERROR(DATEDIF(DATEVALUE(A42),TODAY(),"d"),"")</f>
        <v>13</v>
      </c>
      <c r="L42" s="2" t="str">
        <f aca="false">IF(OR(E42="",H42="",H42="anotado sin numero"),"Sin info, no aplica",IF(I42="no","Cerrado, no volver a tocar",IF(I42="vendido","Cliente, no prospectar",IF(I42="respondio","Atender la conversacion hoy",IF(I42="enviado",IF(K42&gt;=1,"Mandar seguimiento (24-48h)","Esperar respuesta"),"Enviar primer mensaje")))))</f>
        <v>Cerrado, no volver a tocar</v>
      </c>
      <c r="M42" s="4" t="str">
        <f aca="true">IF(OR(L42="Sin info, no aplica",L42="Cerrado, no volver a tocar",L42="Cliente, no prospectar"),"",IF(I42="enviado",DATEVALUE(A42)+2,IF(I42="respondio",TODAY(),"")))</f>
        <v/>
      </c>
    </row>
    <row r="43" customFormat="false" ht="15" hidden="false" customHeight="false" outlineLevel="0" collapsed="false">
      <c r="A43" s="2" t="s">
        <v>141</v>
      </c>
      <c r="B43" s="2" t="s">
        <v>161</v>
      </c>
      <c r="C43" s="2" t="s">
        <v>162</v>
      </c>
      <c r="D43" s="2" t="s">
        <v>16</v>
      </c>
      <c r="E43" s="3" t="n">
        <v>24</v>
      </c>
      <c r="F43" s="3" t="n">
        <v>4.6</v>
      </c>
      <c r="G43" s="2" t="s">
        <v>17</v>
      </c>
      <c r="H43" s="2" t="s">
        <v>163</v>
      </c>
      <c r="I43" s="2" t="s">
        <v>19</v>
      </c>
      <c r="J43" s="2" t="s">
        <v>164</v>
      </c>
      <c r="K43" s="3" t="n">
        <f aca="true">IFERROR(DATEDIF(DATEVALUE(A43),TODAY(),"d"),"")</f>
        <v>13</v>
      </c>
      <c r="L43" s="2" t="str">
        <f aca="false">IF(OR(E43="",H43="",H43="anotado sin numero"),"Sin info, no aplica",IF(I43="no","Cerrado, no volver a tocar",IF(I43="vendido","Cliente, no prospectar",IF(I43="respondio","Atender la conversacion hoy",IF(I43="enviado",IF(K43&gt;=1,"Mandar seguimiento (24-48h)","Esperar respuesta"),"Enviar primer mensaje")))))</f>
        <v>Enviar primer mensaje</v>
      </c>
      <c r="M43" s="4" t="str">
        <f aca="true">IF(OR(L43="Sin info, no aplica",L43="Cerrado, no volver a tocar",L43="Cliente, no prospectar"),"",IF(I43="enviado",DATEVALUE(A43)+2,IF(I43="respondio",TODAY(),"")))</f>
        <v/>
      </c>
    </row>
    <row r="44" customFormat="false" ht="15" hidden="false" customHeight="false" outlineLevel="0" collapsed="false">
      <c r="A44" s="2" t="s">
        <v>141</v>
      </c>
      <c r="B44" s="2" t="s">
        <v>165</v>
      </c>
      <c r="C44" s="2" t="s">
        <v>166</v>
      </c>
      <c r="D44" s="2" t="s">
        <v>103</v>
      </c>
      <c r="E44" s="3" t="n">
        <v>36</v>
      </c>
      <c r="F44" s="3" t="n">
        <v>4.6</v>
      </c>
      <c r="G44" s="2" t="s">
        <v>17</v>
      </c>
      <c r="H44" s="2" t="s">
        <v>167</v>
      </c>
      <c r="I44" s="2" t="s">
        <v>59</v>
      </c>
      <c r="J44" s="2" t="s">
        <v>168</v>
      </c>
      <c r="K44" s="3" t="n">
        <f aca="true">IFERROR(DATEDIF(DATEVALUE(A44),TODAY(),"d"),"")</f>
        <v>13</v>
      </c>
      <c r="L44" s="2" t="str">
        <f aca="false">IF(OR(E44="",H44="",H44="anotado sin numero"),"Sin info, no aplica",IF(I44="no","Cerrado, no volver a tocar",IF(I44="vendido","Cliente, no prospectar",IF(I44="respondio","Atender la conversacion hoy",IF(I44="enviado",IF(K44&gt;=1,"Mandar seguimiento (24-48h)","Esperar respuesta"),"Enviar primer mensaje")))))</f>
        <v>Atender la conversacion hoy</v>
      </c>
      <c r="M44" s="4" t="n">
        <f aca="true">IF(OR(L44="Sin info, no aplica",L44="Cerrado, no volver a tocar",L44="Cliente, no prospectar"),"",IF(I44="enviado",DATEVALUE(A44)+2,IF(I44="respondio",TODAY(),"")))</f>
        <v>46301</v>
      </c>
    </row>
    <row r="45" customFormat="false" ht="15" hidden="false" customHeight="false" outlineLevel="0" collapsed="false">
      <c r="A45" s="2" t="s">
        <v>141</v>
      </c>
      <c r="B45" s="2" t="s">
        <v>169</v>
      </c>
      <c r="C45" s="2" t="s">
        <v>170</v>
      </c>
      <c r="D45" s="2" t="s">
        <v>16</v>
      </c>
      <c r="E45" s="3" t="n">
        <v>55</v>
      </c>
      <c r="F45" s="3" t="n">
        <v>4.6</v>
      </c>
      <c r="G45" s="2" t="s">
        <v>17</v>
      </c>
      <c r="H45" s="2" t="s">
        <v>171</v>
      </c>
      <c r="I45" s="2" t="s">
        <v>19</v>
      </c>
      <c r="J45" s="2" t="s">
        <v>172</v>
      </c>
      <c r="K45" s="3" t="n">
        <f aca="true">IFERROR(DATEDIF(DATEVALUE(A45),TODAY(),"d"),"")</f>
        <v>13</v>
      </c>
      <c r="L45" s="2" t="str">
        <f aca="false">IF(OR(E45="",H45="",H45="anotado sin numero"),"Sin info, no aplica",IF(I45="no","Cerrado, no volver a tocar",IF(I45="vendido","Cliente, no prospectar",IF(I45="respondio","Atender la conversacion hoy",IF(I45="enviado",IF(K45&gt;=1,"Mandar seguimiento (24-48h)","Esperar respuesta"),"Enviar primer mensaje")))))</f>
        <v>Enviar primer mensaje</v>
      </c>
      <c r="M45" s="4" t="str">
        <f aca="true">IF(OR(L45="Sin info, no aplica",L45="Cerrado, no volver a tocar",L45="Cliente, no prospectar"),"",IF(I45="enviado",DATEVALUE(A45)+2,IF(I45="respondio",TODAY(),"")))</f>
        <v/>
      </c>
    </row>
    <row r="46" customFormat="false" ht="15" hidden="false" customHeight="false" outlineLevel="0" collapsed="false">
      <c r="A46" s="2" t="s">
        <v>141</v>
      </c>
      <c r="B46" s="2" t="s">
        <v>173</v>
      </c>
      <c r="C46" s="2" t="s">
        <v>15</v>
      </c>
      <c r="D46" s="2" t="s">
        <v>16</v>
      </c>
      <c r="E46" s="3" t="n">
        <v>47</v>
      </c>
      <c r="F46" s="3" t="n">
        <v>4.6</v>
      </c>
      <c r="G46" s="2" t="s">
        <v>17</v>
      </c>
      <c r="H46" s="2" t="s">
        <v>174</v>
      </c>
      <c r="I46" s="2" t="s">
        <v>19</v>
      </c>
      <c r="J46" s="2" t="s">
        <v>175</v>
      </c>
      <c r="K46" s="3" t="n">
        <f aca="true">IFERROR(DATEDIF(DATEVALUE(A46),TODAY(),"d"),"")</f>
        <v>13</v>
      </c>
      <c r="L46" s="2" t="str">
        <f aca="false">IF(OR(E46="",H46="",H46="anotado sin numero"),"Sin info, no aplica",IF(I46="no","Cerrado, no volver a tocar",IF(I46="vendido","Cliente, no prospectar",IF(I46="respondio","Atender la conversacion hoy",IF(I46="enviado",IF(K46&gt;=1,"Mandar seguimiento (24-48h)","Esperar respuesta"),"Enviar primer mensaje")))))</f>
        <v>Enviar primer mensaje</v>
      </c>
      <c r="M46" s="4" t="str">
        <f aca="true">IF(OR(L46="Sin info, no aplica",L46="Cerrado, no volver a tocar",L46="Cliente, no prospectar"),"",IF(I46="enviado",DATEVALUE(A46)+2,IF(I46="respondio",TODAY(),"")))</f>
        <v/>
      </c>
    </row>
    <row r="47" customFormat="false" ht="15" hidden="false" customHeight="false" outlineLevel="0" collapsed="false">
      <c r="A47" s="2" t="s">
        <v>141</v>
      </c>
      <c r="B47" s="2" t="s">
        <v>176</v>
      </c>
      <c r="C47" s="2" t="s">
        <v>15</v>
      </c>
      <c r="D47" s="2" t="s">
        <v>16</v>
      </c>
      <c r="E47" s="3" t="n">
        <v>23</v>
      </c>
      <c r="F47" s="3" t="n">
        <v>4.5</v>
      </c>
      <c r="G47" s="2" t="s">
        <v>17</v>
      </c>
      <c r="H47" s="2" t="s">
        <v>177</v>
      </c>
      <c r="I47" s="2" t="s">
        <v>19</v>
      </c>
      <c r="J47" s="2" t="s">
        <v>20</v>
      </c>
      <c r="K47" s="3" t="n">
        <f aca="true">IFERROR(DATEDIF(DATEVALUE(A47),TODAY(),"d"),"")</f>
        <v>13</v>
      </c>
      <c r="L47" s="2" t="str">
        <f aca="false">IF(OR(E47="",H47="",H47="anotado sin numero"),"Sin info, no aplica",IF(I47="no","Cerrado, no volver a tocar",IF(I47="vendido","Cliente, no prospectar",IF(I47="respondio","Atender la conversacion hoy",IF(I47="enviado",IF(K47&gt;=1,"Mandar seguimiento (24-48h)","Esperar respuesta"),"Enviar primer mensaje")))))</f>
        <v>Enviar primer mensaje</v>
      </c>
      <c r="M47" s="4" t="str">
        <f aca="true">IF(OR(L47="Sin info, no aplica",L47="Cerrado, no volver a tocar",L47="Cliente, no prospectar"),"",IF(I47="enviado",DATEVALUE(A47)+2,IF(I47="respondio",TODAY(),"")))</f>
        <v/>
      </c>
    </row>
    <row r="48" customFormat="false" ht="15" hidden="false" customHeight="false" outlineLevel="0" collapsed="false">
      <c r="A48" s="2" t="s">
        <v>141</v>
      </c>
      <c r="B48" s="2" t="s">
        <v>178</v>
      </c>
      <c r="C48" s="2" t="s">
        <v>15</v>
      </c>
      <c r="D48" s="2" t="s">
        <v>16</v>
      </c>
      <c r="E48" s="3" t="n">
        <v>51</v>
      </c>
      <c r="F48" s="3" t="n">
        <v>4.6</v>
      </c>
      <c r="G48" s="2" t="s">
        <v>17</v>
      </c>
      <c r="H48" s="2" t="s">
        <v>179</v>
      </c>
      <c r="I48" s="2" t="s">
        <v>19</v>
      </c>
      <c r="J48" s="2" t="s">
        <v>20</v>
      </c>
      <c r="K48" s="3" t="n">
        <f aca="true">IFERROR(DATEDIF(DATEVALUE(A48),TODAY(),"d"),"")</f>
        <v>13</v>
      </c>
      <c r="L48" s="2" t="str">
        <f aca="false">IF(OR(E48="",H48="",H48="anotado sin numero"),"Sin info, no aplica",IF(I48="no","Cerrado, no volver a tocar",IF(I48="vendido","Cliente, no prospectar",IF(I48="respondio","Atender la conversacion hoy",IF(I48="enviado",IF(K48&gt;=1,"Mandar seguimiento (24-48h)","Esperar respuesta"),"Enviar primer mensaje")))))</f>
        <v>Enviar primer mensaje</v>
      </c>
      <c r="M48" s="4" t="str">
        <f aca="true">IF(OR(L48="Sin info, no aplica",L48="Cerrado, no volver a tocar",L48="Cliente, no prospectar"),"",IF(I48="enviado",DATEVALUE(A48)+2,IF(I48="respondio",TODAY(),"")))</f>
        <v/>
      </c>
    </row>
    <row r="49" customFormat="false" ht="15" hidden="false" customHeight="false" outlineLevel="0" collapsed="false">
      <c r="A49" s="2" t="s">
        <v>141</v>
      </c>
      <c r="B49" s="2" t="s">
        <v>180</v>
      </c>
      <c r="C49" s="2" t="s">
        <v>166</v>
      </c>
      <c r="D49" s="2" t="s">
        <v>16</v>
      </c>
      <c r="E49" s="3" t="n">
        <v>9</v>
      </c>
      <c r="F49" s="3" t="n">
        <v>5</v>
      </c>
      <c r="G49" s="2" t="s">
        <v>49</v>
      </c>
      <c r="H49" s="2" t="s">
        <v>181</v>
      </c>
      <c r="I49" s="2" t="s">
        <v>19</v>
      </c>
      <c r="J49" s="2" t="s">
        <v>182</v>
      </c>
      <c r="K49" s="3" t="n">
        <f aca="true">IFERROR(DATEDIF(DATEVALUE(A49),TODAY(),"d"),"")</f>
        <v>13</v>
      </c>
      <c r="L49" s="2" t="str">
        <f aca="false">IF(OR(E49="",H49="",H49="anotado sin numero"),"Sin info, no aplica",IF(I49="no","Cerrado, no volver a tocar",IF(I49="vendido","Cliente, no prospectar",IF(I49="respondio","Atender la conversacion hoy",IF(I49="enviado",IF(K49&gt;=1,"Mandar seguimiento (24-48h)","Esperar respuesta"),"Enviar primer mensaje")))))</f>
        <v>Enviar primer mensaje</v>
      </c>
      <c r="M49" s="4" t="str">
        <f aca="true">IF(OR(L49="Sin info, no aplica",L49="Cerrado, no volver a tocar",L49="Cliente, no prospectar"),"",IF(I49="enviado",DATEVALUE(A49)+2,IF(I49="respondio",TODAY(),"")))</f>
        <v/>
      </c>
    </row>
    <row r="50" customFormat="false" ht="15" hidden="false" customHeight="false" outlineLevel="0" collapsed="false">
      <c r="A50" s="2" t="s">
        <v>183</v>
      </c>
      <c r="B50" s="2" t="s">
        <v>184</v>
      </c>
      <c r="C50" s="2" t="s">
        <v>185</v>
      </c>
      <c r="D50" s="2" t="s">
        <v>186</v>
      </c>
      <c r="E50" s="3" t="n">
        <v>7</v>
      </c>
      <c r="F50" s="3" t="n">
        <v>5</v>
      </c>
      <c r="G50" s="2" t="s">
        <v>17</v>
      </c>
      <c r="H50" s="2" t="s">
        <v>187</v>
      </c>
      <c r="I50" s="2" t="s">
        <v>59</v>
      </c>
      <c r="J50" s="2" t="s">
        <v>188</v>
      </c>
      <c r="K50" s="3" t="n">
        <f aca="true">IFERROR(DATEDIF(DATEVALUE(A50),TODAY(),"d"),"")</f>
        <v>12</v>
      </c>
      <c r="L50" s="2" t="str">
        <f aca="false">IF(OR(E50="",H50="",H50="anotado sin numero"),"Sin info, no aplica",IF(I50="no","Cerrado, no volver a tocar",IF(I50="vendido","Cliente, no prospectar",IF(I50="respondio","Atender la conversacion hoy",IF(I50="enviado",IF(K50&gt;=1,"Mandar seguimiento (24-48h)","Esperar respuesta"),"Enviar primer mensaje")))))</f>
        <v>Atender la conversacion hoy</v>
      </c>
      <c r="M50" s="4" t="n">
        <f aca="true">IF(OR(L50="Sin info, no aplica",L50="Cerrado, no volver a tocar",L50="Cliente, no prospectar"),"",IF(I50="enviado",DATEVALUE(A50)+2,IF(I50="respondio",TODAY(),"")))</f>
        <v>46301</v>
      </c>
    </row>
    <row r="51" customFormat="false" ht="15" hidden="false" customHeight="false" outlineLevel="0" collapsed="false">
      <c r="A51" s="2" t="s">
        <v>183</v>
      </c>
      <c r="B51" s="2" t="s">
        <v>189</v>
      </c>
      <c r="C51" s="2" t="s">
        <v>190</v>
      </c>
      <c r="D51" s="2" t="s">
        <v>186</v>
      </c>
      <c r="E51" s="3" t="n">
        <v>7</v>
      </c>
      <c r="F51" s="3" t="n">
        <v>4.7</v>
      </c>
      <c r="G51" s="2" t="s">
        <v>17</v>
      </c>
      <c r="H51" s="2" t="s">
        <v>191</v>
      </c>
      <c r="I51" s="2" t="s">
        <v>19</v>
      </c>
      <c r="J51" s="2" t="s">
        <v>192</v>
      </c>
      <c r="K51" s="3" t="n">
        <f aca="true">IFERROR(DATEDIF(DATEVALUE(A51),TODAY(),"d"),"")</f>
        <v>12</v>
      </c>
      <c r="L51" s="2" t="str">
        <f aca="false">IF(OR(E51="",H51="",H51="anotado sin numero"),"Sin info, no aplica",IF(I51="no","Cerrado, no volver a tocar",IF(I51="vendido","Cliente, no prospectar",IF(I51="respondio","Atender la conversacion hoy",IF(I51="enviado",IF(K51&gt;=1,"Mandar seguimiento (24-48h)","Esperar respuesta"),"Enviar primer mensaje")))))</f>
        <v>Enviar primer mensaje</v>
      </c>
      <c r="M51" s="4" t="str">
        <f aca="true">IF(OR(L51="Sin info, no aplica",L51="Cerrado, no volver a tocar",L51="Cliente, no prospectar"),"",IF(I51="enviado",DATEVALUE(A51)+2,IF(I51="respondio",TODAY(),"")))</f>
        <v/>
      </c>
    </row>
    <row r="52" customFormat="false" ht="15" hidden="false" customHeight="false" outlineLevel="0" collapsed="false">
      <c r="A52" s="2" t="s">
        <v>183</v>
      </c>
      <c r="B52" s="2" t="s">
        <v>193</v>
      </c>
      <c r="C52" s="2" t="s">
        <v>185</v>
      </c>
      <c r="D52" s="2" t="s">
        <v>186</v>
      </c>
      <c r="E52" s="3" t="n">
        <v>1</v>
      </c>
      <c r="F52" s="3" t="n">
        <v>5</v>
      </c>
      <c r="G52" s="2" t="s">
        <v>17</v>
      </c>
      <c r="H52" s="2" t="s">
        <v>194</v>
      </c>
      <c r="I52" s="2" t="s">
        <v>19</v>
      </c>
      <c r="J52" s="2" t="s">
        <v>195</v>
      </c>
      <c r="K52" s="3" t="n">
        <f aca="true">IFERROR(DATEDIF(DATEVALUE(A52),TODAY(),"d"),"")</f>
        <v>12</v>
      </c>
      <c r="L52" s="2" t="str">
        <f aca="false">IF(OR(E52="",H52="",H52="anotado sin numero"),"Sin info, no aplica",IF(I52="no","Cerrado, no volver a tocar",IF(I52="vendido","Cliente, no prospectar",IF(I52="respondio","Atender la conversacion hoy",IF(I52="enviado",IF(K52&gt;=1,"Mandar seguimiento (24-48h)","Esperar respuesta"),"Enviar primer mensaje")))))</f>
        <v>Enviar primer mensaje</v>
      </c>
      <c r="M52" s="4" t="str">
        <f aca="true">IF(OR(L52="Sin info, no aplica",L52="Cerrado, no volver a tocar",L52="Cliente, no prospectar"),"",IF(I52="enviado",DATEVALUE(A52)+2,IF(I52="respondio",TODAY(),"")))</f>
        <v/>
      </c>
    </row>
    <row r="53" customFormat="false" ht="15" hidden="false" customHeight="false" outlineLevel="0" collapsed="false">
      <c r="A53" s="2" t="s">
        <v>183</v>
      </c>
      <c r="B53" s="2" t="s">
        <v>196</v>
      </c>
      <c r="C53" s="2" t="s">
        <v>185</v>
      </c>
      <c r="D53" s="2" t="s">
        <v>186</v>
      </c>
      <c r="E53" s="3" t="n">
        <v>1</v>
      </c>
      <c r="F53" s="3" t="n">
        <v>5</v>
      </c>
      <c r="G53" s="2" t="s">
        <v>17</v>
      </c>
      <c r="H53" s="2" t="s">
        <v>197</v>
      </c>
      <c r="I53" s="2" t="s">
        <v>59</v>
      </c>
      <c r="J53" s="2" t="s">
        <v>198</v>
      </c>
      <c r="K53" s="3" t="n">
        <f aca="true">IFERROR(DATEDIF(DATEVALUE(A53),TODAY(),"d"),"")</f>
        <v>12</v>
      </c>
      <c r="L53" s="2" t="str">
        <f aca="false">IF(OR(E53="",H53="",H53="anotado sin numero"),"Sin info, no aplica",IF(I53="no","Cerrado, no volver a tocar",IF(I53="vendido","Cliente, no prospectar",IF(I53="respondio","Atender la conversacion hoy",IF(I53="enviado",IF(K53&gt;=1,"Mandar seguimiento (24-48h)","Esperar respuesta"),"Enviar primer mensaje")))))</f>
        <v>Atender la conversacion hoy</v>
      </c>
      <c r="M53" s="4" t="n">
        <f aca="true">IF(OR(L53="Sin info, no aplica",L53="Cerrado, no volver a tocar",L53="Cliente, no prospectar"),"",IF(I53="enviado",DATEVALUE(A53)+2,IF(I53="respondio",TODAY(),"")))</f>
        <v>46301</v>
      </c>
    </row>
    <row r="54" customFormat="false" ht="15" hidden="false" customHeight="false" outlineLevel="0" collapsed="false">
      <c r="A54" s="2" t="s">
        <v>183</v>
      </c>
      <c r="B54" s="2" t="s">
        <v>199</v>
      </c>
      <c r="C54" s="2" t="s">
        <v>185</v>
      </c>
      <c r="D54" s="2" t="s">
        <v>186</v>
      </c>
      <c r="E54" s="3" t="n">
        <v>11</v>
      </c>
      <c r="F54" s="3" t="n">
        <v>4.9</v>
      </c>
      <c r="G54" s="2" t="s">
        <v>17</v>
      </c>
      <c r="H54" s="2" t="s">
        <v>200</v>
      </c>
      <c r="I54" s="2" t="s">
        <v>19</v>
      </c>
      <c r="J54" s="2" t="s">
        <v>195</v>
      </c>
      <c r="K54" s="3" t="n">
        <f aca="true">IFERROR(DATEDIF(DATEVALUE(A54),TODAY(),"d"),"")</f>
        <v>12</v>
      </c>
      <c r="L54" s="2" t="str">
        <f aca="false">IF(OR(E54="",H54="",H54="anotado sin numero"),"Sin info, no aplica",IF(I54="no","Cerrado, no volver a tocar",IF(I54="vendido","Cliente, no prospectar",IF(I54="respondio","Atender la conversacion hoy",IF(I54="enviado",IF(K54&gt;=1,"Mandar seguimiento (24-48h)","Esperar respuesta"),"Enviar primer mensaje")))))</f>
        <v>Enviar primer mensaje</v>
      </c>
      <c r="M54" s="4" t="str">
        <f aca="true">IF(OR(L54="Sin info, no aplica",L54="Cerrado, no volver a tocar",L54="Cliente, no prospectar"),"",IF(I54="enviado",DATEVALUE(A54)+2,IF(I54="respondio",TODAY(),"")))</f>
        <v/>
      </c>
    </row>
    <row r="55" customFormat="false" ht="15" hidden="false" customHeight="false" outlineLevel="0" collapsed="false">
      <c r="A55" s="2" t="s">
        <v>183</v>
      </c>
      <c r="B55" s="2" t="s">
        <v>201</v>
      </c>
      <c r="C55" s="2" t="s">
        <v>185</v>
      </c>
      <c r="D55" s="2" t="s">
        <v>202</v>
      </c>
      <c r="E55" s="3" t="n">
        <v>4</v>
      </c>
      <c r="F55" s="3" t="n">
        <v>5</v>
      </c>
      <c r="G55" s="2" t="s">
        <v>17</v>
      </c>
      <c r="H55" s="2" t="s">
        <v>203</v>
      </c>
      <c r="I55" s="2" t="s">
        <v>19</v>
      </c>
      <c r="J55" s="2" t="s">
        <v>195</v>
      </c>
      <c r="K55" s="3" t="n">
        <f aca="true">IFERROR(DATEDIF(DATEVALUE(A55),TODAY(),"d"),"")</f>
        <v>12</v>
      </c>
      <c r="L55" s="2" t="str">
        <f aca="false">IF(OR(E55="",H55="",H55="anotado sin numero"),"Sin info, no aplica",IF(I55="no","Cerrado, no volver a tocar",IF(I55="vendido","Cliente, no prospectar",IF(I55="respondio","Atender la conversacion hoy",IF(I55="enviado",IF(K55&gt;=1,"Mandar seguimiento (24-48h)","Esperar respuesta"),"Enviar primer mensaje")))))</f>
        <v>Enviar primer mensaje</v>
      </c>
      <c r="M55" s="4" t="str">
        <f aca="true">IF(OR(L55="Sin info, no aplica",L55="Cerrado, no volver a tocar",L55="Cliente, no prospectar"),"",IF(I55="enviado",DATEVALUE(A55)+2,IF(I55="respondio",TODAY(),"")))</f>
        <v/>
      </c>
    </row>
    <row r="56" customFormat="false" ht="15" hidden="false" customHeight="false" outlineLevel="0" collapsed="false">
      <c r="A56" s="2" t="s">
        <v>183</v>
      </c>
      <c r="B56" s="2" t="s">
        <v>204</v>
      </c>
      <c r="C56" s="2" t="s">
        <v>185</v>
      </c>
      <c r="D56" s="2" t="s">
        <v>16</v>
      </c>
      <c r="E56" s="3" t="n">
        <v>15</v>
      </c>
      <c r="F56" s="3" t="n">
        <v>4.9</v>
      </c>
      <c r="G56" s="2" t="s">
        <v>17</v>
      </c>
      <c r="H56" s="2" t="s">
        <v>205</v>
      </c>
      <c r="I56" s="2" t="s">
        <v>19</v>
      </c>
      <c r="J56" s="2" t="s">
        <v>206</v>
      </c>
      <c r="K56" s="3" t="n">
        <f aca="true">IFERROR(DATEDIF(DATEVALUE(A56),TODAY(),"d"),"")</f>
        <v>12</v>
      </c>
      <c r="L56" s="2" t="str">
        <f aca="false">IF(OR(E56="",H56="",H56="anotado sin numero"),"Sin info, no aplica",IF(I56="no","Cerrado, no volver a tocar",IF(I56="vendido","Cliente, no prospectar",IF(I56="respondio","Atender la conversacion hoy",IF(I56="enviado",IF(K56&gt;=1,"Mandar seguimiento (24-48h)","Esperar respuesta"),"Enviar primer mensaje")))))</f>
        <v>Enviar primer mensaje</v>
      </c>
      <c r="M56" s="4" t="str">
        <f aca="true">IF(OR(L56="Sin info, no aplica",L56="Cerrado, no volver a tocar",L56="Cliente, no prospectar"),"",IF(I56="enviado",DATEVALUE(A56)+2,IF(I56="respondio",TODAY(),"")))</f>
        <v/>
      </c>
    </row>
    <row r="57" customFormat="false" ht="15" hidden="false" customHeight="false" outlineLevel="0" collapsed="false">
      <c r="A57" s="2" t="s">
        <v>183</v>
      </c>
      <c r="B57" s="2" t="s">
        <v>207</v>
      </c>
      <c r="C57" s="2" t="s">
        <v>185</v>
      </c>
      <c r="D57" s="2" t="s">
        <v>16</v>
      </c>
      <c r="E57" s="3" t="n">
        <v>7</v>
      </c>
      <c r="F57" s="3" t="n">
        <v>5</v>
      </c>
      <c r="G57" s="2" t="s">
        <v>17</v>
      </c>
      <c r="H57" s="2" t="s">
        <v>208</v>
      </c>
      <c r="I57" s="2" t="s">
        <v>19</v>
      </c>
      <c r="J57" s="2" t="s">
        <v>209</v>
      </c>
      <c r="K57" s="3" t="n">
        <f aca="true">IFERROR(DATEDIF(DATEVALUE(A57),TODAY(),"d"),"")</f>
        <v>12</v>
      </c>
      <c r="L57" s="2" t="str">
        <f aca="false">IF(OR(E57="",H57="",H57="anotado sin numero"),"Sin info, no aplica",IF(I57="no","Cerrado, no volver a tocar",IF(I57="vendido","Cliente, no prospectar",IF(I57="respondio","Atender la conversacion hoy",IF(I57="enviado",IF(K57&gt;=1,"Mandar seguimiento (24-48h)","Esperar respuesta"),"Enviar primer mensaje")))))</f>
        <v>Enviar primer mensaje</v>
      </c>
      <c r="M57" s="4" t="str">
        <f aca="true">IF(OR(L57="Sin info, no aplica",L57="Cerrado, no volver a tocar",L57="Cliente, no prospectar"),"",IF(I57="enviado",DATEVALUE(A57)+2,IF(I57="respondio",TODAY(),"")))</f>
        <v/>
      </c>
    </row>
    <row r="58" customFormat="false" ht="15" hidden="false" customHeight="false" outlineLevel="0" collapsed="false">
      <c r="A58" s="2" t="s">
        <v>183</v>
      </c>
      <c r="B58" s="2" t="s">
        <v>210</v>
      </c>
      <c r="C58" s="2" t="s">
        <v>211</v>
      </c>
      <c r="D58" s="2" t="s">
        <v>16</v>
      </c>
      <c r="E58" s="3" t="n">
        <v>5</v>
      </c>
      <c r="F58" s="3" t="n">
        <v>5</v>
      </c>
      <c r="G58" s="2" t="s">
        <v>17</v>
      </c>
      <c r="H58" s="2" t="s">
        <v>212</v>
      </c>
      <c r="I58" s="2" t="s">
        <v>19</v>
      </c>
      <c r="J58" s="2" t="s">
        <v>213</v>
      </c>
      <c r="K58" s="3" t="n">
        <f aca="true">IFERROR(DATEDIF(DATEVALUE(A58),TODAY(),"d"),"")</f>
        <v>12</v>
      </c>
      <c r="L58" s="2" t="str">
        <f aca="false">IF(OR(E58="",H58="",H58="anotado sin numero"),"Sin info, no aplica",IF(I58="no","Cerrado, no volver a tocar",IF(I58="vendido","Cliente, no prospectar",IF(I58="respondio","Atender la conversacion hoy",IF(I58="enviado",IF(K58&gt;=1,"Mandar seguimiento (24-48h)","Esperar respuesta"),"Enviar primer mensaje")))))</f>
        <v>Enviar primer mensaje</v>
      </c>
      <c r="M58" s="4" t="str">
        <f aca="true">IF(OR(L58="Sin info, no aplica",L58="Cerrado, no volver a tocar",L58="Cliente, no prospectar"),"",IF(I58="enviado",DATEVALUE(A58)+2,IF(I58="respondio",TODAY(),"")))</f>
        <v/>
      </c>
    </row>
    <row r="59" customFormat="false" ht="15" hidden="false" customHeight="false" outlineLevel="0" collapsed="false">
      <c r="A59" s="2" t="s">
        <v>183</v>
      </c>
      <c r="B59" s="2" t="s">
        <v>214</v>
      </c>
      <c r="C59" s="2" t="s">
        <v>211</v>
      </c>
      <c r="D59" s="2" t="s">
        <v>215</v>
      </c>
      <c r="E59" s="3" t="n">
        <v>8</v>
      </c>
      <c r="F59" s="3" t="n">
        <v>4.8</v>
      </c>
      <c r="G59" s="2" t="s">
        <v>17</v>
      </c>
      <c r="H59" s="2" t="s">
        <v>216</v>
      </c>
      <c r="I59" s="2" t="s">
        <v>19</v>
      </c>
      <c r="J59" s="2" t="s">
        <v>213</v>
      </c>
      <c r="K59" s="3" t="n">
        <f aca="true">IFERROR(DATEDIF(DATEVALUE(A59),TODAY(),"d"),"")</f>
        <v>12</v>
      </c>
      <c r="L59" s="2" t="str">
        <f aca="false">IF(OR(E59="",H59="",H59="anotado sin numero"),"Sin info, no aplica",IF(I59="no","Cerrado, no volver a tocar",IF(I59="vendido","Cliente, no prospectar",IF(I59="respondio","Atender la conversacion hoy",IF(I59="enviado",IF(K59&gt;=1,"Mandar seguimiento (24-48h)","Esperar respuesta"),"Enviar primer mensaje")))))</f>
        <v>Enviar primer mensaje</v>
      </c>
      <c r="M59" s="4" t="str">
        <f aca="true">IF(OR(L59="Sin info, no aplica",L59="Cerrado, no volver a tocar",L59="Cliente, no prospectar"),"",IF(I59="enviado",DATEVALUE(A59)+2,IF(I59="respondio",TODAY(),"")))</f>
        <v/>
      </c>
    </row>
    <row r="60" customFormat="false" ht="15" hidden="false" customHeight="false" outlineLevel="0" collapsed="false">
      <c r="A60" s="2" t="s">
        <v>183</v>
      </c>
      <c r="B60" s="2" t="s">
        <v>217</v>
      </c>
      <c r="C60" s="2" t="s">
        <v>211</v>
      </c>
      <c r="D60" s="2" t="s">
        <v>218</v>
      </c>
      <c r="E60" s="3" t="n">
        <v>3</v>
      </c>
      <c r="F60" s="3" t="n">
        <v>5</v>
      </c>
      <c r="G60" s="2" t="s">
        <v>17</v>
      </c>
      <c r="H60" s="2" t="s">
        <v>219</v>
      </c>
      <c r="I60" s="2" t="s">
        <v>19</v>
      </c>
      <c r="J60" s="2" t="s">
        <v>213</v>
      </c>
      <c r="K60" s="3" t="n">
        <f aca="true">IFERROR(DATEDIF(DATEVALUE(A60),TODAY(),"d"),"")</f>
        <v>12</v>
      </c>
      <c r="L60" s="2" t="str">
        <f aca="false">IF(OR(E60="",H60="",H60="anotado sin numero"),"Sin info, no aplica",IF(I60="no","Cerrado, no volver a tocar",IF(I60="vendido","Cliente, no prospectar",IF(I60="respondio","Atender la conversacion hoy",IF(I60="enviado",IF(K60&gt;=1,"Mandar seguimiento (24-48h)","Esperar respuesta"),"Enviar primer mensaje")))))</f>
        <v>Enviar primer mensaje</v>
      </c>
      <c r="M60" s="4" t="str">
        <f aca="true">IF(OR(L60="Sin info, no aplica",L60="Cerrado, no volver a tocar",L60="Cliente, no prospectar"),"",IF(I60="enviado",DATEVALUE(A60)+2,IF(I60="respondio",TODAY(),"")))</f>
        <v/>
      </c>
    </row>
    <row r="61" customFormat="false" ht="15" hidden="false" customHeight="false" outlineLevel="0" collapsed="false">
      <c r="A61" s="2" t="s">
        <v>183</v>
      </c>
      <c r="B61" s="2" t="s">
        <v>220</v>
      </c>
      <c r="C61" s="2" t="s">
        <v>211</v>
      </c>
      <c r="D61" s="2" t="s">
        <v>215</v>
      </c>
      <c r="E61" s="3" t="n">
        <v>14</v>
      </c>
      <c r="F61" s="3" t="n">
        <v>4.6</v>
      </c>
      <c r="G61" s="2" t="s">
        <v>17</v>
      </c>
      <c r="H61" s="2" t="s">
        <v>221</v>
      </c>
      <c r="I61" s="2" t="s">
        <v>19</v>
      </c>
      <c r="J61" s="2" t="s">
        <v>222</v>
      </c>
      <c r="K61" s="3" t="n">
        <f aca="true">IFERROR(DATEDIF(DATEVALUE(A61),TODAY(),"d"),"")</f>
        <v>12</v>
      </c>
      <c r="L61" s="2" t="str">
        <f aca="false">IF(OR(E61="",H61="",H61="anotado sin numero"),"Sin info, no aplica",IF(I61="no","Cerrado, no volver a tocar",IF(I61="vendido","Cliente, no prospectar",IF(I61="respondio","Atender la conversacion hoy",IF(I61="enviado",IF(K61&gt;=1,"Mandar seguimiento (24-48h)","Esperar respuesta"),"Enviar primer mensaje")))))</f>
        <v>Enviar primer mensaje</v>
      </c>
      <c r="M61" s="4" t="str">
        <f aca="true">IF(OR(L61="Sin info, no aplica",L61="Cerrado, no volver a tocar",L61="Cliente, no prospectar"),"",IF(I61="enviado",DATEVALUE(A61)+2,IF(I61="respondio",TODAY(),"")))</f>
        <v/>
      </c>
    </row>
    <row r="62" customFormat="false" ht="15" hidden="false" customHeight="false" outlineLevel="0" collapsed="false">
      <c r="A62" s="2" t="s">
        <v>183</v>
      </c>
      <c r="B62" s="2" t="s">
        <v>223</v>
      </c>
      <c r="C62" s="2" t="s">
        <v>211</v>
      </c>
      <c r="D62" s="2" t="s">
        <v>215</v>
      </c>
      <c r="E62" s="3" t="n">
        <v>12</v>
      </c>
      <c r="F62" s="3" t="n">
        <v>4.8</v>
      </c>
      <c r="G62" s="2" t="s">
        <v>17</v>
      </c>
      <c r="H62" s="2" t="s">
        <v>224</v>
      </c>
      <c r="I62" s="2" t="s">
        <v>19</v>
      </c>
      <c r="J62" s="2" t="s">
        <v>213</v>
      </c>
      <c r="K62" s="3" t="n">
        <f aca="true">IFERROR(DATEDIF(DATEVALUE(A62),TODAY(),"d"),"")</f>
        <v>12</v>
      </c>
      <c r="L62" s="2" t="str">
        <f aca="false">IF(OR(E62="",H62="",H62="anotado sin numero"),"Sin info, no aplica",IF(I62="no","Cerrado, no volver a tocar",IF(I62="vendido","Cliente, no prospectar",IF(I62="respondio","Atender la conversacion hoy",IF(I62="enviado",IF(K62&gt;=1,"Mandar seguimiento (24-48h)","Esperar respuesta"),"Enviar primer mensaje")))))</f>
        <v>Enviar primer mensaje</v>
      </c>
      <c r="M62" s="4" t="str">
        <f aca="true">IF(OR(L62="Sin info, no aplica",L62="Cerrado, no volver a tocar",L62="Cliente, no prospectar"),"",IF(I62="enviado",DATEVALUE(A62)+2,IF(I62="respondio",TODAY(),"")))</f>
        <v/>
      </c>
    </row>
    <row r="63" customFormat="false" ht="15" hidden="false" customHeight="false" outlineLevel="0" collapsed="false">
      <c r="A63" s="2" t="s">
        <v>183</v>
      </c>
      <c r="B63" s="2" t="s">
        <v>225</v>
      </c>
      <c r="C63" s="2" t="s">
        <v>211</v>
      </c>
      <c r="D63" s="2" t="s">
        <v>215</v>
      </c>
      <c r="E63" s="3" t="n">
        <v>3</v>
      </c>
      <c r="F63" s="3" t="n">
        <v>5</v>
      </c>
      <c r="G63" s="2" t="s">
        <v>17</v>
      </c>
      <c r="H63" s="2" t="s">
        <v>226</v>
      </c>
      <c r="I63" s="2" t="s">
        <v>19</v>
      </c>
      <c r="J63" s="2" t="s">
        <v>213</v>
      </c>
      <c r="K63" s="3" t="n">
        <f aca="true">IFERROR(DATEDIF(DATEVALUE(A63),TODAY(),"d"),"")</f>
        <v>12</v>
      </c>
      <c r="L63" s="2" t="str">
        <f aca="false">IF(OR(E63="",H63="",H63="anotado sin numero"),"Sin info, no aplica",IF(I63="no","Cerrado, no volver a tocar",IF(I63="vendido","Cliente, no prospectar",IF(I63="respondio","Atender la conversacion hoy",IF(I63="enviado",IF(K63&gt;=1,"Mandar seguimiento (24-48h)","Esperar respuesta"),"Enviar primer mensaje")))))</f>
        <v>Enviar primer mensaje</v>
      </c>
      <c r="M63" s="4" t="str">
        <f aca="true">IF(OR(L63="Sin info, no aplica",L63="Cerrado, no volver a tocar",L63="Cliente, no prospectar"),"",IF(I63="enviado",DATEVALUE(A63)+2,IF(I63="respondio",TODAY(),"")))</f>
        <v/>
      </c>
    </row>
    <row r="64" customFormat="false" ht="15" hidden="false" customHeight="false" outlineLevel="0" collapsed="false">
      <c r="A64" s="2" t="s">
        <v>183</v>
      </c>
      <c r="B64" s="2" t="s">
        <v>227</v>
      </c>
      <c r="C64" s="2" t="s">
        <v>228</v>
      </c>
      <c r="D64" s="2" t="s">
        <v>215</v>
      </c>
      <c r="E64" s="3" t="n">
        <v>15</v>
      </c>
      <c r="F64" s="3" t="n">
        <v>4.9</v>
      </c>
      <c r="G64" s="2" t="s">
        <v>17</v>
      </c>
      <c r="H64" s="2" t="s">
        <v>229</v>
      </c>
      <c r="I64" s="2" t="s">
        <v>19</v>
      </c>
      <c r="J64" s="2" t="s">
        <v>213</v>
      </c>
      <c r="K64" s="3" t="n">
        <f aca="true">IFERROR(DATEDIF(DATEVALUE(A64),TODAY(),"d"),"")</f>
        <v>12</v>
      </c>
      <c r="L64" s="2" t="str">
        <f aca="false">IF(OR(E64="",H64="",H64="anotado sin numero"),"Sin info, no aplica",IF(I64="no","Cerrado, no volver a tocar",IF(I64="vendido","Cliente, no prospectar",IF(I64="respondio","Atender la conversacion hoy",IF(I64="enviado",IF(K64&gt;=1,"Mandar seguimiento (24-48h)","Esperar respuesta"),"Enviar primer mensaje")))))</f>
        <v>Enviar primer mensaje</v>
      </c>
      <c r="M64" s="4" t="str">
        <f aca="true">IF(OR(L64="Sin info, no aplica",L64="Cerrado, no volver a tocar",L64="Cliente, no prospectar"),"",IF(I64="enviado",DATEVALUE(A64)+2,IF(I64="respondio",TODAY(),"")))</f>
        <v/>
      </c>
    </row>
    <row r="65" customFormat="false" ht="15" hidden="false" customHeight="false" outlineLevel="0" collapsed="false">
      <c r="A65" s="2" t="s">
        <v>183</v>
      </c>
      <c r="B65" s="2" t="s">
        <v>230</v>
      </c>
      <c r="C65" s="2" t="s">
        <v>185</v>
      </c>
      <c r="D65" s="2" t="s">
        <v>186</v>
      </c>
      <c r="E65" s="3" t="n">
        <v>7</v>
      </c>
      <c r="F65" s="3" t="n">
        <v>4.7</v>
      </c>
      <c r="G65" s="2" t="s">
        <v>49</v>
      </c>
      <c r="H65" s="2" t="s">
        <v>231</v>
      </c>
      <c r="I65" s="2" t="s">
        <v>19</v>
      </c>
      <c r="J65" s="2" t="s">
        <v>232</v>
      </c>
      <c r="K65" s="3" t="n">
        <f aca="true">IFERROR(DATEDIF(DATEVALUE(A65),TODAY(),"d"),"")</f>
        <v>12</v>
      </c>
      <c r="L65" s="2" t="str">
        <f aca="false">IF(OR(E65="",H65="",H65="anotado sin numero"),"Sin info, no aplica",IF(I65="no","Cerrado, no volver a tocar",IF(I65="vendido","Cliente, no prospectar",IF(I65="respondio","Atender la conversacion hoy",IF(I65="enviado",IF(K65&gt;=1,"Mandar seguimiento (24-48h)","Esperar respuesta"),"Enviar primer mensaje")))))</f>
        <v>Enviar primer mensaje</v>
      </c>
      <c r="M65" s="4" t="str">
        <f aca="true">IF(OR(L65="Sin info, no aplica",L65="Cerrado, no volver a tocar",L65="Cliente, no prospectar"),"",IF(I65="enviado",DATEVALUE(A65)+2,IF(I65="respondio",TODAY(),"")))</f>
        <v/>
      </c>
    </row>
    <row r="66" customFormat="false" ht="15" hidden="false" customHeight="false" outlineLevel="0" collapsed="false">
      <c r="A66" s="2" t="s">
        <v>183</v>
      </c>
      <c r="B66" s="2" t="s">
        <v>233</v>
      </c>
      <c r="C66" s="2" t="s">
        <v>185</v>
      </c>
      <c r="D66" s="2" t="s">
        <v>16</v>
      </c>
      <c r="E66" s="3" t="n">
        <v>10</v>
      </c>
      <c r="F66" s="3" t="n">
        <v>4.7</v>
      </c>
      <c r="G66" s="2" t="s">
        <v>49</v>
      </c>
      <c r="H66" s="2" t="s">
        <v>234</v>
      </c>
      <c r="I66" s="2" t="s">
        <v>19</v>
      </c>
      <c r="J66" s="2" t="s">
        <v>235</v>
      </c>
      <c r="K66" s="3" t="n">
        <f aca="true">IFERROR(DATEDIF(DATEVALUE(A66),TODAY(),"d"),"")</f>
        <v>12</v>
      </c>
      <c r="L66" s="2" t="str">
        <f aca="false">IF(OR(E66="",H66="",H66="anotado sin numero"),"Sin info, no aplica",IF(I66="no","Cerrado, no volver a tocar",IF(I66="vendido","Cliente, no prospectar",IF(I66="respondio","Atender la conversacion hoy",IF(I66="enviado",IF(K66&gt;=1,"Mandar seguimiento (24-48h)","Esperar respuesta"),"Enviar primer mensaje")))))</f>
        <v>Enviar primer mensaje</v>
      </c>
      <c r="M66" s="4" t="str">
        <f aca="true">IF(OR(L66="Sin info, no aplica",L66="Cerrado, no volver a tocar",L66="Cliente, no prospectar"),"",IF(I66="enviado",DATEVALUE(A66)+2,IF(I66="respondio",TODAY(),"")))</f>
        <v/>
      </c>
    </row>
    <row r="67" customFormat="false" ht="15" hidden="false" customHeight="false" outlineLevel="0" collapsed="false">
      <c r="A67" s="2" t="s">
        <v>183</v>
      </c>
      <c r="B67" s="2" t="s">
        <v>236</v>
      </c>
      <c r="C67" s="2" t="s">
        <v>185</v>
      </c>
      <c r="D67" s="2" t="s">
        <v>186</v>
      </c>
      <c r="E67" s="3" t="n">
        <v>17</v>
      </c>
      <c r="F67" s="3" t="n">
        <v>4.6</v>
      </c>
      <c r="G67" s="2" t="s">
        <v>49</v>
      </c>
      <c r="H67" s="2" t="s">
        <v>237</v>
      </c>
      <c r="I67" s="2" t="s">
        <v>19</v>
      </c>
      <c r="J67" s="2" t="s">
        <v>232</v>
      </c>
      <c r="K67" s="3" t="n">
        <f aca="true">IFERROR(DATEDIF(DATEVALUE(A67),TODAY(),"d"),"")</f>
        <v>12</v>
      </c>
      <c r="L67" s="2" t="str">
        <f aca="false">IF(OR(E67="",H67="",H67="anotado sin numero"),"Sin info, no aplica",IF(I67="no","Cerrado, no volver a tocar",IF(I67="vendido","Cliente, no prospectar",IF(I67="respondio","Atender la conversacion hoy",IF(I67="enviado",IF(K67&gt;=1,"Mandar seguimiento (24-48h)","Esperar respuesta"),"Enviar primer mensaje")))))</f>
        <v>Enviar primer mensaje</v>
      </c>
      <c r="M67" s="4" t="str">
        <f aca="true">IF(OR(L67="Sin info, no aplica",L67="Cerrado, no volver a tocar",L67="Cliente, no prospectar"),"",IF(I67="enviado",DATEVALUE(A67)+2,IF(I67="respondio",TODAY(),"")))</f>
        <v/>
      </c>
    </row>
    <row r="68" customFormat="false" ht="15" hidden="false" customHeight="false" outlineLevel="0" collapsed="false">
      <c r="A68" s="2" t="s">
        <v>238</v>
      </c>
      <c r="B68" s="2" t="s">
        <v>239</v>
      </c>
      <c r="C68" s="2" t="s">
        <v>240</v>
      </c>
      <c r="D68" s="2" t="s">
        <v>16</v>
      </c>
      <c r="E68" s="3" t="n">
        <v>14</v>
      </c>
      <c r="F68" s="3" t="n">
        <v>4.5</v>
      </c>
      <c r="G68" s="2" t="s">
        <v>17</v>
      </c>
      <c r="H68" s="2" t="s">
        <v>241</v>
      </c>
      <c r="I68" s="2" t="s">
        <v>19</v>
      </c>
      <c r="J68" s="2" t="s">
        <v>242</v>
      </c>
      <c r="K68" s="3" t="n">
        <f aca="true">IFERROR(DATEDIF(DATEVALUE(A68),TODAY(),"d"),"")</f>
        <v>11</v>
      </c>
      <c r="L68" s="2" t="str">
        <f aca="false">IF(OR(E68="",H68="",H68="anotado sin numero"),"Sin info, no aplica",IF(I68="no","Cerrado, no volver a tocar",IF(I68="vendido","Cliente, no prospectar",IF(I68="respondio","Atender la conversacion hoy",IF(I68="enviado",IF(K68&gt;=1,"Mandar seguimiento (24-48h)","Esperar respuesta"),"Enviar primer mensaje")))))</f>
        <v>Enviar primer mensaje</v>
      </c>
      <c r="M68" s="4" t="str">
        <f aca="true">IF(OR(L68="Sin info, no aplica",L68="Cerrado, no volver a tocar",L68="Cliente, no prospectar"),"",IF(I68="enviado",DATEVALUE(A68)+2,IF(I68="respondio",TODAY(),"")))</f>
        <v/>
      </c>
    </row>
    <row r="69" customFormat="false" ht="15" hidden="false" customHeight="false" outlineLevel="0" collapsed="false">
      <c r="A69" s="2" t="s">
        <v>238</v>
      </c>
      <c r="B69" s="2" t="s">
        <v>243</v>
      </c>
      <c r="C69" s="2" t="s">
        <v>240</v>
      </c>
      <c r="D69" s="2" t="s">
        <v>244</v>
      </c>
      <c r="E69" s="3" t="n">
        <v>28</v>
      </c>
      <c r="F69" s="3" t="n">
        <v>4.8</v>
      </c>
      <c r="G69" s="2" t="s">
        <v>17</v>
      </c>
      <c r="H69" s="2" t="s">
        <v>245</v>
      </c>
      <c r="I69" s="2" t="s">
        <v>19</v>
      </c>
      <c r="J69" s="2" t="s">
        <v>242</v>
      </c>
      <c r="K69" s="3" t="n">
        <f aca="true">IFERROR(DATEDIF(DATEVALUE(A69),TODAY(),"d"),"")</f>
        <v>11</v>
      </c>
      <c r="L69" s="2" t="str">
        <f aca="false">IF(OR(E69="",H69="",H69="anotado sin numero"),"Sin info, no aplica",IF(I69="no","Cerrado, no volver a tocar",IF(I69="vendido","Cliente, no prospectar",IF(I69="respondio","Atender la conversacion hoy",IF(I69="enviado",IF(K69&gt;=1,"Mandar seguimiento (24-48h)","Esperar respuesta"),"Enviar primer mensaje")))))</f>
        <v>Enviar primer mensaje</v>
      </c>
      <c r="M69" s="4" t="str">
        <f aca="true">IF(OR(L69="Sin info, no aplica",L69="Cerrado, no volver a tocar",L69="Cliente, no prospectar"),"",IF(I69="enviado",DATEVALUE(A69)+2,IF(I69="respondio",TODAY(),"")))</f>
        <v/>
      </c>
    </row>
    <row r="70" customFormat="false" ht="15" hidden="false" customHeight="false" outlineLevel="0" collapsed="false">
      <c r="A70" s="2" t="s">
        <v>238</v>
      </c>
      <c r="B70" s="2" t="s">
        <v>246</v>
      </c>
      <c r="C70" s="2" t="s">
        <v>247</v>
      </c>
      <c r="D70" s="2" t="s">
        <v>16</v>
      </c>
      <c r="E70" s="3" t="n">
        <v>7</v>
      </c>
      <c r="F70" s="3" t="n">
        <v>5</v>
      </c>
      <c r="G70" s="2" t="s">
        <v>17</v>
      </c>
      <c r="H70" s="2" t="s">
        <v>248</v>
      </c>
      <c r="I70" s="2" t="s">
        <v>19</v>
      </c>
      <c r="J70" s="2" t="s">
        <v>249</v>
      </c>
      <c r="K70" s="3" t="n">
        <f aca="true">IFERROR(DATEDIF(DATEVALUE(A70),TODAY(),"d"),"")</f>
        <v>11</v>
      </c>
      <c r="L70" s="2" t="str">
        <f aca="false">IF(OR(E70="",H70="",H70="anotado sin numero"),"Sin info, no aplica",IF(I70="no","Cerrado, no volver a tocar",IF(I70="vendido","Cliente, no prospectar",IF(I70="respondio","Atender la conversacion hoy",IF(I70="enviado",IF(K70&gt;=1,"Mandar seguimiento (24-48h)","Esperar respuesta"),"Enviar primer mensaje")))))</f>
        <v>Enviar primer mensaje</v>
      </c>
      <c r="M70" s="4" t="str">
        <f aca="true">IF(OR(L70="Sin info, no aplica",L70="Cerrado, no volver a tocar",L70="Cliente, no prospectar"),"",IF(I70="enviado",DATEVALUE(A70)+2,IF(I70="respondio",TODAY(),"")))</f>
        <v/>
      </c>
    </row>
    <row r="71" customFormat="false" ht="15" hidden="false" customHeight="false" outlineLevel="0" collapsed="false">
      <c r="A71" s="2" t="s">
        <v>238</v>
      </c>
      <c r="B71" s="2" t="s">
        <v>250</v>
      </c>
      <c r="C71" s="2" t="s">
        <v>251</v>
      </c>
      <c r="D71" s="2" t="s">
        <v>16</v>
      </c>
      <c r="E71" s="3" t="n">
        <v>15</v>
      </c>
      <c r="F71" s="3" t="n">
        <v>4.3</v>
      </c>
      <c r="G71" s="2" t="s">
        <v>17</v>
      </c>
      <c r="H71" s="2" t="s">
        <v>252</v>
      </c>
      <c r="I71" s="2" t="s">
        <v>19</v>
      </c>
      <c r="J71" s="2" t="s">
        <v>253</v>
      </c>
      <c r="K71" s="3" t="n">
        <f aca="true">IFERROR(DATEDIF(DATEVALUE(A71),TODAY(),"d"),"")</f>
        <v>11</v>
      </c>
      <c r="L71" s="2" t="str">
        <f aca="false">IF(OR(E71="",H71="",H71="anotado sin numero"),"Sin info, no aplica",IF(I71="no","Cerrado, no volver a tocar",IF(I71="vendido","Cliente, no prospectar",IF(I71="respondio","Atender la conversacion hoy",IF(I71="enviado",IF(K71&gt;=1,"Mandar seguimiento (24-48h)","Esperar respuesta"),"Enviar primer mensaje")))))</f>
        <v>Enviar primer mensaje</v>
      </c>
      <c r="M71" s="4" t="str">
        <f aca="true">IF(OR(L71="Sin info, no aplica",L71="Cerrado, no volver a tocar",L71="Cliente, no prospectar"),"",IF(I71="enviado",DATEVALUE(A71)+2,IF(I71="respondio",TODAY(),"")))</f>
        <v/>
      </c>
    </row>
    <row r="72" customFormat="false" ht="15" hidden="false" customHeight="false" outlineLevel="0" collapsed="false">
      <c r="A72" s="2" t="s">
        <v>238</v>
      </c>
      <c r="B72" s="2" t="s">
        <v>254</v>
      </c>
      <c r="C72" s="2" t="s">
        <v>255</v>
      </c>
      <c r="D72" s="2" t="s">
        <v>256</v>
      </c>
      <c r="E72" s="3" t="n">
        <v>2</v>
      </c>
      <c r="F72" s="3" t="n">
        <v>4.5</v>
      </c>
      <c r="G72" s="2" t="s">
        <v>17</v>
      </c>
      <c r="H72" s="2" t="s">
        <v>257</v>
      </c>
      <c r="I72" s="2" t="s">
        <v>19</v>
      </c>
      <c r="J72" s="2" t="s">
        <v>253</v>
      </c>
      <c r="K72" s="3" t="n">
        <f aca="true">IFERROR(DATEDIF(DATEVALUE(A72),TODAY(),"d"),"")</f>
        <v>11</v>
      </c>
      <c r="L72" s="2" t="str">
        <f aca="false">IF(OR(E72="",H72="",H72="anotado sin numero"),"Sin info, no aplica",IF(I72="no","Cerrado, no volver a tocar",IF(I72="vendido","Cliente, no prospectar",IF(I72="respondio","Atender la conversacion hoy",IF(I72="enviado",IF(K72&gt;=1,"Mandar seguimiento (24-48h)","Esperar respuesta"),"Enviar primer mensaje")))))</f>
        <v>Enviar primer mensaje</v>
      </c>
      <c r="M72" s="4" t="str">
        <f aca="true">IF(OR(L72="Sin info, no aplica",L72="Cerrado, no volver a tocar",L72="Cliente, no prospectar"),"",IF(I72="enviado",DATEVALUE(A72)+2,IF(I72="respondio",TODAY(),"")))</f>
        <v/>
      </c>
    </row>
    <row r="73" customFormat="false" ht="15" hidden="false" customHeight="false" outlineLevel="0" collapsed="false">
      <c r="A73" s="2" t="s">
        <v>238</v>
      </c>
      <c r="B73" s="2" t="s">
        <v>258</v>
      </c>
      <c r="C73" s="2" t="s">
        <v>255</v>
      </c>
      <c r="D73" s="2" t="s">
        <v>16</v>
      </c>
      <c r="E73" s="3" t="n">
        <v>11</v>
      </c>
      <c r="F73" s="3" t="n">
        <v>5</v>
      </c>
      <c r="G73" s="2" t="s">
        <v>17</v>
      </c>
      <c r="H73" s="2" t="s">
        <v>259</v>
      </c>
      <c r="I73" s="2" t="s">
        <v>19</v>
      </c>
      <c r="J73" s="2" t="s">
        <v>260</v>
      </c>
      <c r="K73" s="3" t="n">
        <f aca="true">IFERROR(DATEDIF(DATEVALUE(A73),TODAY(),"d"),"")</f>
        <v>11</v>
      </c>
      <c r="L73" s="2" t="str">
        <f aca="false">IF(OR(E73="",H73="",H73="anotado sin numero"),"Sin info, no aplica",IF(I73="no","Cerrado, no volver a tocar",IF(I73="vendido","Cliente, no prospectar",IF(I73="respondio","Atender la conversacion hoy",IF(I73="enviado",IF(K73&gt;=1,"Mandar seguimiento (24-48h)","Esperar respuesta"),"Enviar primer mensaje")))))</f>
        <v>Enviar primer mensaje</v>
      </c>
      <c r="M73" s="4" t="str">
        <f aca="true">IF(OR(L73="Sin info, no aplica",L73="Cerrado, no volver a tocar",L73="Cliente, no prospectar"),"",IF(I73="enviado",DATEVALUE(A73)+2,IF(I73="respondio",TODAY(),"")))</f>
        <v/>
      </c>
    </row>
    <row r="74" customFormat="false" ht="15" hidden="false" customHeight="false" outlineLevel="0" collapsed="false">
      <c r="A74" s="2" t="s">
        <v>238</v>
      </c>
      <c r="B74" s="2" t="s">
        <v>261</v>
      </c>
      <c r="C74" s="2" t="s">
        <v>262</v>
      </c>
      <c r="D74" s="2" t="s">
        <v>263</v>
      </c>
      <c r="E74" s="3" t="n">
        <v>4</v>
      </c>
      <c r="F74" s="3" t="n">
        <v>5</v>
      </c>
      <c r="G74" s="2" t="s">
        <v>17</v>
      </c>
      <c r="H74" s="2" t="s">
        <v>264</v>
      </c>
      <c r="I74" s="2" t="s">
        <v>19</v>
      </c>
      <c r="J74" s="2" t="s">
        <v>265</v>
      </c>
      <c r="K74" s="3" t="n">
        <f aca="true">IFERROR(DATEDIF(DATEVALUE(A74),TODAY(),"d"),"")</f>
        <v>11</v>
      </c>
      <c r="L74" s="2" t="str">
        <f aca="false">IF(OR(E74="",H74="",H74="anotado sin numero"),"Sin info, no aplica",IF(I74="no","Cerrado, no volver a tocar",IF(I74="vendido","Cliente, no prospectar",IF(I74="respondio","Atender la conversacion hoy",IF(I74="enviado",IF(K74&gt;=1,"Mandar seguimiento (24-48h)","Esperar respuesta"),"Enviar primer mensaje")))))</f>
        <v>Enviar primer mensaje</v>
      </c>
      <c r="M74" s="4" t="str">
        <f aca="true">IF(OR(L74="Sin info, no aplica",L74="Cerrado, no volver a tocar",L74="Cliente, no prospectar"),"",IF(I74="enviado",DATEVALUE(A74)+2,IF(I74="respondio",TODAY(),"")))</f>
        <v/>
      </c>
    </row>
    <row r="75" customFormat="false" ht="15" hidden="false" customHeight="false" outlineLevel="0" collapsed="false">
      <c r="A75" s="2" t="s">
        <v>238</v>
      </c>
      <c r="B75" s="2" t="s">
        <v>266</v>
      </c>
      <c r="C75" s="2" t="s">
        <v>247</v>
      </c>
      <c r="D75" s="2" t="s">
        <v>16</v>
      </c>
      <c r="E75" s="3" t="n">
        <v>17</v>
      </c>
      <c r="F75" s="3" t="n">
        <v>5</v>
      </c>
      <c r="G75" s="2" t="s">
        <v>17</v>
      </c>
      <c r="H75" s="2" t="s">
        <v>267</v>
      </c>
      <c r="I75" s="2" t="s">
        <v>19</v>
      </c>
      <c r="J75" s="2" t="s">
        <v>268</v>
      </c>
      <c r="K75" s="3" t="n">
        <f aca="true">IFERROR(DATEDIF(DATEVALUE(A75),TODAY(),"d"),"")</f>
        <v>11</v>
      </c>
      <c r="L75" s="2" t="str">
        <f aca="false">IF(OR(E75="",H75="",H75="anotado sin numero"),"Sin info, no aplica",IF(I75="no","Cerrado, no volver a tocar",IF(I75="vendido","Cliente, no prospectar",IF(I75="respondio","Atender la conversacion hoy",IF(I75="enviado",IF(K75&gt;=1,"Mandar seguimiento (24-48h)","Esperar respuesta"),"Enviar primer mensaje")))))</f>
        <v>Enviar primer mensaje</v>
      </c>
      <c r="M75" s="4" t="str">
        <f aca="true">IF(OR(L75="Sin info, no aplica",L75="Cerrado, no volver a tocar",L75="Cliente, no prospectar"),"",IF(I75="enviado",DATEVALUE(A75)+2,IF(I75="respondio",TODAY(),"")))</f>
        <v/>
      </c>
    </row>
    <row r="76" customFormat="false" ht="15" hidden="false" customHeight="false" outlineLevel="0" collapsed="false">
      <c r="A76" s="2" t="s">
        <v>238</v>
      </c>
      <c r="B76" s="2" t="s">
        <v>269</v>
      </c>
      <c r="C76" s="2" t="s">
        <v>270</v>
      </c>
      <c r="D76" s="2" t="s">
        <v>16</v>
      </c>
      <c r="E76" s="3" t="n">
        <v>14</v>
      </c>
      <c r="F76" s="3" t="n">
        <v>4.4</v>
      </c>
      <c r="G76" s="2" t="s">
        <v>49</v>
      </c>
      <c r="H76" s="2" t="s">
        <v>271</v>
      </c>
      <c r="I76" s="2" t="s">
        <v>19</v>
      </c>
      <c r="J76" s="2" t="s">
        <v>272</v>
      </c>
      <c r="K76" s="3" t="n">
        <f aca="true">IFERROR(DATEDIF(DATEVALUE(A76),TODAY(),"d"),"")</f>
        <v>11</v>
      </c>
      <c r="L76" s="2" t="str">
        <f aca="false">IF(OR(E76="",H76="",H76="anotado sin numero"),"Sin info, no aplica",IF(I76="no","Cerrado, no volver a tocar",IF(I76="vendido","Cliente, no prospectar",IF(I76="respondio","Atender la conversacion hoy",IF(I76="enviado",IF(K76&gt;=1,"Mandar seguimiento (24-48h)","Esperar respuesta"),"Enviar primer mensaje")))))</f>
        <v>Enviar primer mensaje</v>
      </c>
      <c r="M76" s="4" t="str">
        <f aca="true">IF(OR(L76="Sin info, no aplica",L76="Cerrado, no volver a tocar",L76="Cliente, no prospectar"),"",IF(I76="enviado",DATEVALUE(A76)+2,IF(I76="respondio",TODAY(),"")))</f>
        <v/>
      </c>
    </row>
    <row r="77" customFormat="false" ht="15" hidden="false" customHeight="false" outlineLevel="0" collapsed="false">
      <c r="A77" s="2" t="s">
        <v>238</v>
      </c>
      <c r="B77" s="2" t="s">
        <v>273</v>
      </c>
      <c r="C77" s="2" t="s">
        <v>262</v>
      </c>
      <c r="D77" s="2" t="s">
        <v>16</v>
      </c>
      <c r="E77" s="3" t="n">
        <v>12</v>
      </c>
      <c r="F77" s="3" t="n">
        <v>4.8</v>
      </c>
      <c r="G77" s="2" t="s">
        <v>49</v>
      </c>
      <c r="H77" s="2" t="s">
        <v>274</v>
      </c>
      <c r="I77" s="2" t="s">
        <v>19</v>
      </c>
      <c r="J77" s="2" t="s">
        <v>275</v>
      </c>
      <c r="K77" s="3" t="n">
        <f aca="true">IFERROR(DATEDIF(DATEVALUE(A77),TODAY(),"d"),"")</f>
        <v>11</v>
      </c>
      <c r="L77" s="2" t="str">
        <f aca="false">IF(OR(E77="",H77="",H77="anotado sin numero"),"Sin info, no aplica",IF(I77="no","Cerrado, no volver a tocar",IF(I77="vendido","Cliente, no prospectar",IF(I77="respondio","Atender la conversacion hoy",IF(I77="enviado",IF(K77&gt;=1,"Mandar seguimiento (24-48h)","Esperar respuesta"),"Enviar primer mensaje")))))</f>
        <v>Enviar primer mensaje</v>
      </c>
      <c r="M77" s="4" t="str">
        <f aca="true">IF(OR(L77="Sin info, no aplica",L77="Cerrado, no volver a tocar",L77="Cliente, no prospectar"),"",IF(I77="enviado",DATEVALUE(A77)+2,IF(I77="respondio",TODAY(),"")))</f>
        <v/>
      </c>
    </row>
    <row r="78" customFormat="false" ht="15" hidden="false" customHeight="false" outlineLevel="0" collapsed="false">
      <c r="A78" s="2" t="s">
        <v>238</v>
      </c>
      <c r="B78" s="2" t="s">
        <v>276</v>
      </c>
      <c r="C78" s="2" t="s">
        <v>277</v>
      </c>
      <c r="D78" s="2" t="s">
        <v>16</v>
      </c>
      <c r="E78" s="3" t="n">
        <v>10</v>
      </c>
      <c r="F78" s="3" t="n">
        <v>4.6</v>
      </c>
      <c r="G78" s="2" t="s">
        <v>17</v>
      </c>
      <c r="H78" s="2" t="s">
        <v>278</v>
      </c>
      <c r="I78" s="2" t="s">
        <v>19</v>
      </c>
      <c r="J78" s="2" t="s">
        <v>279</v>
      </c>
      <c r="K78" s="3" t="n">
        <f aca="true">IFERROR(DATEDIF(DATEVALUE(A78),TODAY(),"d"),"")</f>
        <v>11</v>
      </c>
      <c r="L78" s="2" t="str">
        <f aca="false">IF(OR(E78="",H78="",H78="anotado sin numero"),"Sin info, no aplica",IF(I78="no","Cerrado, no volver a tocar",IF(I78="vendido","Cliente, no prospectar",IF(I78="respondio","Atender la conversacion hoy",IF(I78="enviado",IF(K78&gt;=1,"Mandar seguimiento (24-48h)","Esperar respuesta"),"Enviar primer mensaje")))))</f>
        <v>Enviar primer mensaje</v>
      </c>
      <c r="M78" s="4" t="str">
        <f aca="true">IF(OR(L78="Sin info, no aplica",L78="Cerrado, no volver a tocar",L78="Cliente, no prospectar"),"",IF(I78="enviado",DATEVALUE(A78)+2,IF(I78="respondio",TODAY(),"")))</f>
        <v/>
      </c>
    </row>
    <row r="79" customFormat="false" ht="15" hidden="false" customHeight="false" outlineLevel="0" collapsed="false">
      <c r="A79" s="2" t="s">
        <v>238</v>
      </c>
      <c r="B79" s="2" t="s">
        <v>280</v>
      </c>
      <c r="C79" s="2" t="s">
        <v>277</v>
      </c>
      <c r="D79" s="2" t="s">
        <v>16</v>
      </c>
      <c r="E79" s="3" t="n">
        <v>2</v>
      </c>
      <c r="F79" s="3" t="n">
        <v>4.5</v>
      </c>
      <c r="G79" s="2" t="s">
        <v>17</v>
      </c>
      <c r="H79" s="2" t="s">
        <v>281</v>
      </c>
      <c r="I79" s="2" t="s">
        <v>19</v>
      </c>
      <c r="J79" s="2" t="s">
        <v>282</v>
      </c>
      <c r="K79" s="3" t="n">
        <f aca="true">IFERROR(DATEDIF(DATEVALUE(A79),TODAY(),"d"),"")</f>
        <v>11</v>
      </c>
      <c r="L79" s="2" t="str">
        <f aca="false">IF(OR(E79="",H79="",H79="anotado sin numero"),"Sin info, no aplica",IF(I79="no","Cerrado, no volver a tocar",IF(I79="vendido","Cliente, no prospectar",IF(I79="respondio","Atender la conversacion hoy",IF(I79="enviado",IF(K79&gt;=1,"Mandar seguimiento (24-48h)","Esperar respuesta"),"Enviar primer mensaje")))))</f>
        <v>Enviar primer mensaje</v>
      </c>
      <c r="M79" s="4" t="str">
        <f aca="true">IF(OR(L79="Sin info, no aplica",L79="Cerrado, no volver a tocar",L79="Cliente, no prospectar"),"",IF(I79="enviado",DATEVALUE(A79)+2,IF(I79="respondio",TODAY(),"")))</f>
        <v/>
      </c>
    </row>
    <row r="80" customFormat="false" ht="15" hidden="false" customHeight="false" outlineLevel="0" collapsed="false">
      <c r="A80" s="2" t="s">
        <v>238</v>
      </c>
      <c r="B80" s="2" t="s">
        <v>283</v>
      </c>
      <c r="C80" s="2" t="s">
        <v>277</v>
      </c>
      <c r="D80" s="2" t="s">
        <v>16</v>
      </c>
      <c r="E80" s="3" t="n">
        <v>3</v>
      </c>
      <c r="F80" s="3" t="n">
        <v>5</v>
      </c>
      <c r="G80" s="2" t="s">
        <v>17</v>
      </c>
      <c r="H80" s="2" t="s">
        <v>284</v>
      </c>
      <c r="I80" s="2" t="s">
        <v>19</v>
      </c>
      <c r="J80" s="2" t="s">
        <v>285</v>
      </c>
      <c r="K80" s="3" t="n">
        <f aca="true">IFERROR(DATEDIF(DATEVALUE(A80),TODAY(),"d"),"")</f>
        <v>11</v>
      </c>
      <c r="L80" s="2" t="str">
        <f aca="false">IF(OR(E80="",H80="",H80="anotado sin numero"),"Sin info, no aplica",IF(I80="no","Cerrado, no volver a tocar",IF(I80="vendido","Cliente, no prospectar",IF(I80="respondio","Atender la conversacion hoy",IF(I80="enviado",IF(K80&gt;=1,"Mandar seguimiento (24-48h)","Esperar respuesta"),"Enviar primer mensaje")))))</f>
        <v>Enviar primer mensaje</v>
      </c>
      <c r="M80" s="4" t="str">
        <f aca="true">IF(OR(L80="Sin info, no aplica",L80="Cerrado, no volver a tocar",L80="Cliente, no prospectar"),"",IF(I80="enviado",DATEVALUE(A80)+2,IF(I80="respondio",TODAY(),"")))</f>
        <v/>
      </c>
    </row>
    <row r="81" customFormat="false" ht="15" hidden="false" customHeight="false" outlineLevel="0" collapsed="false">
      <c r="A81" s="2" t="s">
        <v>238</v>
      </c>
      <c r="B81" s="2" t="s">
        <v>286</v>
      </c>
      <c r="C81" s="2" t="s">
        <v>287</v>
      </c>
      <c r="D81" s="2" t="s">
        <v>16</v>
      </c>
      <c r="E81" s="3" t="n">
        <v>15</v>
      </c>
      <c r="F81" s="3" t="n">
        <v>4.8</v>
      </c>
      <c r="G81" s="2" t="s">
        <v>17</v>
      </c>
      <c r="H81" s="2" t="s">
        <v>288</v>
      </c>
      <c r="I81" s="2" t="s">
        <v>19</v>
      </c>
      <c r="J81" s="2" t="s">
        <v>289</v>
      </c>
      <c r="K81" s="3" t="n">
        <f aca="true">IFERROR(DATEDIF(DATEVALUE(A81),TODAY(),"d"),"")</f>
        <v>11</v>
      </c>
      <c r="L81" s="2" t="str">
        <f aca="false">IF(OR(E81="",H81="",H81="anotado sin numero"),"Sin info, no aplica",IF(I81="no","Cerrado, no volver a tocar",IF(I81="vendido","Cliente, no prospectar",IF(I81="respondio","Atender la conversacion hoy",IF(I81="enviado",IF(K81&gt;=1,"Mandar seguimiento (24-48h)","Esperar respuesta"),"Enviar primer mensaje")))))</f>
        <v>Enviar primer mensaje</v>
      </c>
      <c r="M81" s="4" t="str">
        <f aca="true">IF(OR(L81="Sin info, no aplica",L81="Cerrado, no volver a tocar",L81="Cliente, no prospectar"),"",IF(I81="enviado",DATEVALUE(A81)+2,IF(I81="respondio",TODAY(),"")))</f>
        <v/>
      </c>
    </row>
    <row r="82" customFormat="false" ht="15" hidden="false" customHeight="false" outlineLevel="0" collapsed="false">
      <c r="A82" s="2" t="s">
        <v>238</v>
      </c>
      <c r="B82" s="2" t="s">
        <v>290</v>
      </c>
      <c r="C82" s="2" t="s">
        <v>287</v>
      </c>
      <c r="D82" s="2" t="s">
        <v>16</v>
      </c>
      <c r="E82" s="3" t="n">
        <v>3</v>
      </c>
      <c r="F82" s="3" t="n">
        <v>4.3</v>
      </c>
      <c r="G82" s="2" t="s">
        <v>17</v>
      </c>
      <c r="H82" s="2" t="s">
        <v>291</v>
      </c>
      <c r="I82" s="2" t="s">
        <v>19</v>
      </c>
      <c r="J82" s="2" t="s">
        <v>292</v>
      </c>
      <c r="K82" s="3" t="n">
        <f aca="true">IFERROR(DATEDIF(DATEVALUE(A82),TODAY(),"d"),"")</f>
        <v>11</v>
      </c>
      <c r="L82" s="2" t="str">
        <f aca="false">IF(OR(E82="",H82="",H82="anotado sin numero"),"Sin info, no aplica",IF(I82="no","Cerrado, no volver a tocar",IF(I82="vendido","Cliente, no prospectar",IF(I82="respondio","Atender la conversacion hoy",IF(I82="enviado",IF(K82&gt;=1,"Mandar seguimiento (24-48h)","Esperar respuesta"),"Enviar primer mensaje")))))</f>
        <v>Enviar primer mensaje</v>
      </c>
      <c r="M82" s="4" t="str">
        <f aca="true">IF(OR(L82="Sin info, no aplica",L82="Cerrado, no volver a tocar",L82="Cliente, no prospectar"),"",IF(I82="enviado",DATEVALUE(A82)+2,IF(I82="respondio",TODAY(),"")))</f>
        <v/>
      </c>
    </row>
    <row r="83" customFormat="false" ht="15" hidden="false" customHeight="false" outlineLevel="0" collapsed="false">
      <c r="A83" s="2" t="s">
        <v>238</v>
      </c>
      <c r="B83" s="2" t="s">
        <v>293</v>
      </c>
      <c r="C83" s="2" t="s">
        <v>287</v>
      </c>
      <c r="D83" s="2" t="s">
        <v>16</v>
      </c>
      <c r="E83" s="3" t="n">
        <v>23</v>
      </c>
      <c r="F83" s="3" t="n">
        <v>4.7</v>
      </c>
      <c r="G83" s="2" t="s">
        <v>17</v>
      </c>
      <c r="H83" s="2" t="s">
        <v>294</v>
      </c>
      <c r="I83" s="2" t="s">
        <v>19</v>
      </c>
      <c r="J83" s="2" t="s">
        <v>292</v>
      </c>
      <c r="K83" s="3" t="n">
        <f aca="true">IFERROR(DATEDIF(DATEVALUE(A83),TODAY(),"d"),"")</f>
        <v>11</v>
      </c>
      <c r="L83" s="2" t="str">
        <f aca="false">IF(OR(E83="",H83="",H83="anotado sin numero"),"Sin info, no aplica",IF(I83="no","Cerrado, no volver a tocar",IF(I83="vendido","Cliente, no prospectar",IF(I83="respondio","Atender la conversacion hoy",IF(I83="enviado",IF(K83&gt;=1,"Mandar seguimiento (24-48h)","Esperar respuesta"),"Enviar primer mensaje")))))</f>
        <v>Enviar primer mensaje</v>
      </c>
      <c r="M83" s="4" t="str">
        <f aca="true">IF(OR(L83="Sin info, no aplica",L83="Cerrado, no volver a tocar",L83="Cliente, no prospectar"),"",IF(I83="enviado",DATEVALUE(A83)+2,IF(I83="respondio",TODAY(),"")))</f>
        <v/>
      </c>
    </row>
    <row r="84" customFormat="false" ht="15" hidden="false" customHeight="false" outlineLevel="0" collapsed="false">
      <c r="A84" s="2" t="s">
        <v>238</v>
      </c>
      <c r="B84" s="2" t="s">
        <v>295</v>
      </c>
      <c r="C84" s="2" t="s">
        <v>296</v>
      </c>
      <c r="D84" s="2" t="s">
        <v>16</v>
      </c>
      <c r="E84" s="3" t="n">
        <v>4</v>
      </c>
      <c r="F84" s="3" t="n">
        <v>5</v>
      </c>
      <c r="G84" s="2" t="s">
        <v>17</v>
      </c>
      <c r="H84" s="2" t="s">
        <v>297</v>
      </c>
      <c r="I84" s="2" t="s">
        <v>19</v>
      </c>
      <c r="J84" s="2" t="s">
        <v>298</v>
      </c>
      <c r="K84" s="3" t="n">
        <f aca="true">IFERROR(DATEDIF(DATEVALUE(A84),TODAY(),"d"),"")</f>
        <v>11</v>
      </c>
      <c r="L84" s="2" t="str">
        <f aca="false">IF(OR(E84="",H84="",H84="anotado sin numero"),"Sin info, no aplica",IF(I84="no","Cerrado, no volver a tocar",IF(I84="vendido","Cliente, no prospectar",IF(I84="respondio","Atender la conversacion hoy",IF(I84="enviado",IF(K84&gt;=1,"Mandar seguimiento (24-48h)","Esperar respuesta"),"Enviar primer mensaje")))))</f>
        <v>Enviar primer mensaje</v>
      </c>
      <c r="M84" s="4" t="str">
        <f aca="true">IF(OR(L84="Sin info, no aplica",L84="Cerrado, no volver a tocar",L84="Cliente, no prospectar"),"",IF(I84="enviado",DATEVALUE(A84)+2,IF(I84="respondio",TODAY(),"")))</f>
        <v/>
      </c>
    </row>
    <row r="85" customFormat="false" ht="15" hidden="false" customHeight="false" outlineLevel="0" collapsed="false">
      <c r="A85" s="2" t="s">
        <v>238</v>
      </c>
      <c r="B85" s="2" t="s">
        <v>299</v>
      </c>
      <c r="C85" s="2" t="s">
        <v>300</v>
      </c>
      <c r="D85" s="2" t="s">
        <v>301</v>
      </c>
      <c r="E85" s="3" t="n">
        <v>2</v>
      </c>
      <c r="F85" s="3" t="n">
        <v>5</v>
      </c>
      <c r="G85" s="2" t="s">
        <v>17</v>
      </c>
      <c r="H85" s="2" t="s">
        <v>302</v>
      </c>
      <c r="I85" s="2" t="s">
        <v>19</v>
      </c>
      <c r="J85" s="2" t="s">
        <v>303</v>
      </c>
      <c r="K85" s="3" t="n">
        <f aca="true">IFERROR(DATEDIF(DATEVALUE(A85),TODAY(),"d"),"")</f>
        <v>11</v>
      </c>
      <c r="L85" s="2" t="str">
        <f aca="false">IF(OR(E85="",H85="",H85="anotado sin numero"),"Sin info, no aplica",IF(I85="no","Cerrado, no volver a tocar",IF(I85="vendido","Cliente, no prospectar",IF(I85="respondio","Atender la conversacion hoy",IF(I85="enviado",IF(K85&gt;=1,"Mandar seguimiento (24-48h)","Esperar respuesta"),"Enviar primer mensaje")))))</f>
        <v>Enviar primer mensaje</v>
      </c>
      <c r="M85" s="4" t="str">
        <f aca="true">IF(OR(L85="Sin info, no aplica",L85="Cerrado, no volver a tocar",L85="Cliente, no prospectar"),"",IF(I85="enviado",DATEVALUE(A85)+2,IF(I85="respondio",TODAY(),"")))</f>
        <v/>
      </c>
    </row>
    <row r="86" customFormat="false" ht="15" hidden="false" customHeight="false" outlineLevel="0" collapsed="false">
      <c r="A86" s="2" t="s">
        <v>238</v>
      </c>
      <c r="B86" s="2" t="s">
        <v>304</v>
      </c>
      <c r="C86" s="2" t="s">
        <v>305</v>
      </c>
      <c r="D86" s="2" t="s">
        <v>16</v>
      </c>
      <c r="E86" s="3" t="n">
        <v>13</v>
      </c>
      <c r="F86" s="3" t="n">
        <v>4.9</v>
      </c>
      <c r="G86" s="2" t="s">
        <v>17</v>
      </c>
      <c r="H86" s="2" t="s">
        <v>306</v>
      </c>
      <c r="I86" s="2" t="s">
        <v>19</v>
      </c>
      <c r="J86" s="2" t="s">
        <v>307</v>
      </c>
      <c r="K86" s="3" t="n">
        <f aca="true">IFERROR(DATEDIF(DATEVALUE(A86),TODAY(),"d"),"")</f>
        <v>11</v>
      </c>
      <c r="L86" s="2" t="str">
        <f aca="false">IF(OR(E86="",H86="",H86="anotado sin numero"),"Sin info, no aplica",IF(I86="no","Cerrado, no volver a tocar",IF(I86="vendido","Cliente, no prospectar",IF(I86="respondio","Atender la conversacion hoy",IF(I86="enviado",IF(K86&gt;=1,"Mandar seguimiento (24-48h)","Esperar respuesta"),"Enviar primer mensaje")))))</f>
        <v>Enviar primer mensaje</v>
      </c>
      <c r="M86" s="4" t="str">
        <f aca="true">IF(OR(L86="Sin info, no aplica",L86="Cerrado, no volver a tocar",L86="Cliente, no prospectar"),"",IF(I86="enviado",DATEVALUE(A86)+2,IF(I86="respondio",TODAY(),"")))</f>
        <v/>
      </c>
    </row>
    <row r="87" customFormat="false" ht="15" hidden="false" customHeight="false" outlineLevel="0" collapsed="false">
      <c r="A87" s="2" t="s">
        <v>238</v>
      </c>
      <c r="B87" s="2" t="s">
        <v>308</v>
      </c>
      <c r="C87" s="2" t="s">
        <v>309</v>
      </c>
      <c r="D87" s="2" t="s">
        <v>16</v>
      </c>
      <c r="E87" s="3" t="n">
        <v>14</v>
      </c>
      <c r="F87" s="3" t="n">
        <v>4.7</v>
      </c>
      <c r="G87" s="2" t="s">
        <v>17</v>
      </c>
      <c r="H87" s="2" t="s">
        <v>310</v>
      </c>
      <c r="I87" s="2" t="s">
        <v>19</v>
      </c>
      <c r="J87" s="2" t="s">
        <v>303</v>
      </c>
      <c r="K87" s="3" t="n">
        <f aca="true">IFERROR(DATEDIF(DATEVALUE(A87),TODAY(),"d"),"")</f>
        <v>11</v>
      </c>
      <c r="L87" s="2" t="str">
        <f aca="false">IF(OR(E87="",H87="",H87="anotado sin numero"),"Sin info, no aplica",IF(I87="no","Cerrado, no volver a tocar",IF(I87="vendido","Cliente, no prospectar",IF(I87="respondio","Atender la conversacion hoy",IF(I87="enviado",IF(K87&gt;=1,"Mandar seguimiento (24-48h)","Esperar respuesta"),"Enviar primer mensaje")))))</f>
        <v>Enviar primer mensaje</v>
      </c>
      <c r="M87" s="4" t="str">
        <f aca="true">IF(OR(L87="Sin info, no aplica",L87="Cerrado, no volver a tocar",L87="Cliente, no prospectar"),"",IF(I87="enviado",DATEVALUE(A87)+2,IF(I87="respondio",TODAY(),"")))</f>
        <v/>
      </c>
    </row>
    <row r="88" customFormat="false" ht="15" hidden="false" customHeight="false" outlineLevel="0" collapsed="false">
      <c r="A88" s="2" t="s">
        <v>238</v>
      </c>
      <c r="B88" s="2" t="s">
        <v>311</v>
      </c>
      <c r="C88" s="2" t="s">
        <v>300</v>
      </c>
      <c r="D88" s="2" t="s">
        <v>103</v>
      </c>
      <c r="E88" s="3" t="n">
        <v>1</v>
      </c>
      <c r="F88" s="3" t="n">
        <v>5</v>
      </c>
      <c r="G88" s="2" t="s">
        <v>17</v>
      </c>
      <c r="H88" s="2" t="s">
        <v>312</v>
      </c>
      <c r="I88" s="2" t="s">
        <v>19</v>
      </c>
      <c r="J88" s="2" t="s">
        <v>313</v>
      </c>
      <c r="K88" s="3" t="n">
        <f aca="true">IFERROR(DATEDIF(DATEVALUE(A88),TODAY(),"d"),"")</f>
        <v>11</v>
      </c>
      <c r="L88" s="2" t="str">
        <f aca="false">IF(OR(E88="",H88="",H88="anotado sin numero"),"Sin info, no aplica",IF(I88="no","Cerrado, no volver a tocar",IF(I88="vendido","Cliente, no prospectar",IF(I88="respondio","Atender la conversacion hoy",IF(I88="enviado",IF(K88&gt;=1,"Mandar seguimiento (24-48h)","Esperar respuesta"),"Enviar primer mensaje")))))</f>
        <v>Enviar primer mensaje</v>
      </c>
      <c r="M88" s="4" t="str">
        <f aca="true">IF(OR(L88="Sin info, no aplica",L88="Cerrado, no volver a tocar",L88="Cliente, no prospectar"),"",IF(I88="enviado",DATEVALUE(A88)+2,IF(I88="respondio",TODAY(),"")))</f>
        <v/>
      </c>
    </row>
    <row r="89" customFormat="false" ht="15" hidden="false" customHeight="false" outlineLevel="0" collapsed="false">
      <c r="A89" s="2" t="s">
        <v>238</v>
      </c>
      <c r="B89" s="2" t="s">
        <v>314</v>
      </c>
      <c r="C89" s="2" t="s">
        <v>287</v>
      </c>
      <c r="D89" s="2" t="s">
        <v>16</v>
      </c>
      <c r="E89" s="3" t="n">
        <v>13</v>
      </c>
      <c r="F89" s="3" t="n">
        <v>4.5</v>
      </c>
      <c r="G89" s="2" t="s">
        <v>49</v>
      </c>
      <c r="H89" s="2" t="s">
        <v>315</v>
      </c>
      <c r="I89" s="2" t="s">
        <v>19</v>
      </c>
      <c r="J89" s="2" t="s">
        <v>316</v>
      </c>
      <c r="K89" s="3" t="n">
        <f aca="true">IFERROR(DATEDIF(DATEVALUE(A89),TODAY(),"d"),"")</f>
        <v>11</v>
      </c>
      <c r="L89" s="2" t="str">
        <f aca="false">IF(OR(E89="",H89="",H89="anotado sin numero"),"Sin info, no aplica",IF(I89="no","Cerrado, no volver a tocar",IF(I89="vendido","Cliente, no prospectar",IF(I89="respondio","Atender la conversacion hoy",IF(I89="enviado",IF(K89&gt;=1,"Mandar seguimiento (24-48h)","Esperar respuesta"),"Enviar primer mensaje")))))</f>
        <v>Enviar primer mensaje</v>
      </c>
      <c r="M89" s="4" t="str">
        <f aca="true">IF(OR(L89="Sin info, no aplica",L89="Cerrado, no volver a tocar",L89="Cliente, no prospectar"),"",IF(I89="enviado",DATEVALUE(A89)+2,IF(I89="respondio",TODAY(),"")))</f>
        <v/>
      </c>
    </row>
    <row r="90" customFormat="false" ht="15" hidden="false" customHeight="false" outlineLevel="0" collapsed="false">
      <c r="A90" s="2" t="s">
        <v>238</v>
      </c>
      <c r="B90" s="2" t="s">
        <v>317</v>
      </c>
      <c r="C90" s="2" t="s">
        <v>318</v>
      </c>
      <c r="D90" s="2" t="s">
        <v>16</v>
      </c>
      <c r="E90" s="3" t="n">
        <v>7</v>
      </c>
      <c r="F90" s="3" t="n">
        <v>4.7</v>
      </c>
      <c r="G90" s="2" t="s">
        <v>49</v>
      </c>
      <c r="H90" s="2" t="s">
        <v>319</v>
      </c>
      <c r="I90" s="2" t="s">
        <v>19</v>
      </c>
      <c r="J90" s="2" t="s">
        <v>320</v>
      </c>
      <c r="K90" s="3" t="n">
        <f aca="true">IFERROR(DATEDIF(DATEVALUE(A90),TODAY(),"d"),"")</f>
        <v>11</v>
      </c>
      <c r="L90" s="2" t="str">
        <f aca="false">IF(OR(E90="",H90="",H90="anotado sin numero"),"Sin info, no aplica",IF(I90="no","Cerrado, no volver a tocar",IF(I90="vendido","Cliente, no prospectar",IF(I90="respondio","Atender la conversacion hoy",IF(I90="enviado",IF(K90&gt;=1,"Mandar seguimiento (24-48h)","Esperar respuesta"),"Enviar primer mensaje")))))</f>
        <v>Enviar primer mensaje</v>
      </c>
      <c r="M90" s="4" t="str">
        <f aca="true">IF(OR(L90="Sin info, no aplica",L90="Cerrado, no volver a tocar",L90="Cliente, no prospectar"),"",IF(I90="enviado",DATEVALUE(A90)+2,IF(I90="respondio",TODAY(),"")))</f>
        <v/>
      </c>
    </row>
    <row r="91" customFormat="false" ht="15" hidden="false" customHeight="false" outlineLevel="0" collapsed="false">
      <c r="A91" s="2" t="s">
        <v>238</v>
      </c>
      <c r="B91" s="2" t="s">
        <v>321</v>
      </c>
      <c r="C91" s="2" t="s">
        <v>322</v>
      </c>
      <c r="D91" s="2" t="s">
        <v>16</v>
      </c>
      <c r="E91" s="3" t="n">
        <v>3</v>
      </c>
      <c r="F91" s="3" t="n">
        <v>5</v>
      </c>
      <c r="G91" s="2" t="s">
        <v>17</v>
      </c>
      <c r="H91" s="2" t="s">
        <v>323</v>
      </c>
      <c r="I91" s="2" t="s">
        <v>19</v>
      </c>
      <c r="J91" s="2" t="s">
        <v>324</v>
      </c>
      <c r="K91" s="3" t="n">
        <f aca="true">IFERROR(DATEDIF(DATEVALUE(A91),TODAY(),"d"),"")</f>
        <v>11</v>
      </c>
      <c r="L91" s="2" t="str">
        <f aca="false">IF(OR(E91="",H91="",H91="anotado sin numero"),"Sin info, no aplica",IF(I91="no","Cerrado, no volver a tocar",IF(I91="vendido","Cliente, no prospectar",IF(I91="respondio","Atender la conversacion hoy",IF(I91="enviado",IF(K91&gt;=1,"Mandar seguimiento (24-48h)","Esperar respuesta"),"Enviar primer mensaje")))))</f>
        <v>Enviar primer mensaje</v>
      </c>
      <c r="M91" s="4" t="str">
        <f aca="true">IF(OR(L91="Sin info, no aplica",L91="Cerrado, no volver a tocar",L91="Cliente, no prospectar"),"",IF(I91="enviado",DATEVALUE(A91)+2,IF(I91="respondio",TODAY(),"")))</f>
        <v/>
      </c>
    </row>
    <row r="92" customFormat="false" ht="15" hidden="false" customHeight="false" outlineLevel="0" collapsed="false">
      <c r="A92" s="2" t="s">
        <v>238</v>
      </c>
      <c r="B92" s="2" t="s">
        <v>325</v>
      </c>
      <c r="C92" s="2" t="s">
        <v>326</v>
      </c>
      <c r="D92" s="2" t="s">
        <v>16</v>
      </c>
      <c r="E92" s="3" t="n">
        <v>11</v>
      </c>
      <c r="F92" s="3" t="n">
        <v>4.7</v>
      </c>
      <c r="G92" s="2" t="s">
        <v>17</v>
      </c>
      <c r="H92" s="2" t="s">
        <v>327</v>
      </c>
      <c r="I92" s="2" t="s">
        <v>19</v>
      </c>
      <c r="J92" s="2" t="s">
        <v>328</v>
      </c>
      <c r="K92" s="3" t="n">
        <f aca="true">IFERROR(DATEDIF(DATEVALUE(A92),TODAY(),"d"),"")</f>
        <v>11</v>
      </c>
      <c r="L92" s="2" t="str">
        <f aca="false">IF(OR(E92="",H92="",H92="anotado sin numero"),"Sin info, no aplica",IF(I92="no","Cerrado, no volver a tocar",IF(I92="vendido","Cliente, no prospectar",IF(I92="respondio","Atender la conversacion hoy",IF(I92="enviado",IF(K92&gt;=1,"Mandar seguimiento (24-48h)","Esperar respuesta"),"Enviar primer mensaje")))))</f>
        <v>Enviar primer mensaje</v>
      </c>
      <c r="M92" s="4" t="str">
        <f aca="true">IF(OR(L92="Sin info, no aplica",L92="Cerrado, no volver a tocar",L92="Cliente, no prospectar"),"",IF(I92="enviado",DATEVALUE(A92)+2,IF(I92="respondio",TODAY(),"")))</f>
        <v/>
      </c>
    </row>
    <row r="93" customFormat="false" ht="15" hidden="false" customHeight="false" outlineLevel="0" collapsed="false">
      <c r="A93" s="2" t="s">
        <v>238</v>
      </c>
      <c r="B93" s="2" t="s">
        <v>329</v>
      </c>
      <c r="C93" s="2" t="s">
        <v>330</v>
      </c>
      <c r="D93" s="2" t="s">
        <v>331</v>
      </c>
      <c r="E93" s="3" t="n">
        <v>4</v>
      </c>
      <c r="F93" s="3" t="n">
        <v>5</v>
      </c>
      <c r="G93" s="2" t="s">
        <v>17</v>
      </c>
      <c r="H93" s="2" t="s">
        <v>332</v>
      </c>
      <c r="I93" s="2" t="s">
        <v>19</v>
      </c>
      <c r="J93" s="2" t="s">
        <v>324</v>
      </c>
      <c r="K93" s="3" t="n">
        <f aca="true">IFERROR(DATEDIF(DATEVALUE(A93),TODAY(),"d"),"")</f>
        <v>11</v>
      </c>
      <c r="L93" s="2" t="str">
        <f aca="false">IF(OR(E93="",H93="",H93="anotado sin numero"),"Sin info, no aplica",IF(I93="no","Cerrado, no volver a tocar",IF(I93="vendido","Cliente, no prospectar",IF(I93="respondio","Atender la conversacion hoy",IF(I93="enviado",IF(K93&gt;=1,"Mandar seguimiento (24-48h)","Esperar respuesta"),"Enviar primer mensaje")))))</f>
        <v>Enviar primer mensaje</v>
      </c>
      <c r="M93" s="4" t="str">
        <f aca="true">IF(OR(L93="Sin info, no aplica",L93="Cerrado, no volver a tocar",L93="Cliente, no prospectar"),"",IF(I93="enviado",DATEVALUE(A93)+2,IF(I93="respondio",TODAY(),"")))</f>
        <v/>
      </c>
    </row>
    <row r="94" customFormat="false" ht="15" hidden="false" customHeight="false" outlineLevel="0" collapsed="false">
      <c r="A94" s="2" t="s">
        <v>238</v>
      </c>
      <c r="B94" s="2" t="s">
        <v>333</v>
      </c>
      <c r="C94" s="2" t="s">
        <v>334</v>
      </c>
      <c r="D94" s="2" t="s">
        <v>16</v>
      </c>
      <c r="E94" s="3" t="n">
        <v>15</v>
      </c>
      <c r="F94" s="3" t="n">
        <v>5</v>
      </c>
      <c r="G94" s="2" t="s">
        <v>17</v>
      </c>
      <c r="H94" s="2" t="s">
        <v>335</v>
      </c>
      <c r="I94" s="2" t="s">
        <v>19</v>
      </c>
      <c r="J94" s="2" t="s">
        <v>336</v>
      </c>
      <c r="K94" s="3" t="n">
        <f aca="true">IFERROR(DATEDIF(DATEVALUE(A94),TODAY(),"d"),"")</f>
        <v>11</v>
      </c>
      <c r="L94" s="2" t="str">
        <f aca="false">IF(OR(E94="",H94="",H94="anotado sin numero"),"Sin info, no aplica",IF(I94="no","Cerrado, no volver a tocar",IF(I94="vendido","Cliente, no prospectar",IF(I94="respondio","Atender la conversacion hoy",IF(I94="enviado",IF(K94&gt;=1,"Mandar seguimiento (24-48h)","Esperar respuesta"),"Enviar primer mensaje")))))</f>
        <v>Enviar primer mensaje</v>
      </c>
      <c r="M94" s="4" t="str">
        <f aca="true">IF(OR(L94="Sin info, no aplica",L94="Cerrado, no volver a tocar",L94="Cliente, no prospectar"),"",IF(I94="enviado",DATEVALUE(A94)+2,IF(I94="respondio",TODAY(),"")))</f>
        <v/>
      </c>
    </row>
    <row r="95" customFormat="false" ht="15" hidden="false" customHeight="false" outlineLevel="0" collapsed="false">
      <c r="A95" s="2" t="s">
        <v>238</v>
      </c>
      <c r="B95" s="2" t="s">
        <v>337</v>
      </c>
      <c r="C95" s="2" t="s">
        <v>338</v>
      </c>
      <c r="D95" s="2" t="s">
        <v>339</v>
      </c>
      <c r="E95" s="3" t="n">
        <v>11</v>
      </c>
      <c r="F95" s="3" t="n">
        <v>5</v>
      </c>
      <c r="G95" s="2" t="s">
        <v>17</v>
      </c>
      <c r="H95" s="2" t="s">
        <v>340</v>
      </c>
      <c r="I95" s="2" t="s">
        <v>19</v>
      </c>
      <c r="J95" s="2" t="s">
        <v>341</v>
      </c>
      <c r="K95" s="3" t="n">
        <f aca="true">IFERROR(DATEDIF(DATEVALUE(A95),TODAY(),"d"),"")</f>
        <v>11</v>
      </c>
      <c r="L95" s="2" t="str">
        <f aca="false">IF(OR(E95="",H95="",H95="anotado sin numero"),"Sin info, no aplica",IF(I95="no","Cerrado, no volver a tocar",IF(I95="vendido","Cliente, no prospectar",IF(I95="respondio","Atender la conversacion hoy",IF(I95="enviado",IF(K95&gt;=1,"Mandar seguimiento (24-48h)","Esperar respuesta"),"Enviar primer mensaje")))))</f>
        <v>Enviar primer mensaje</v>
      </c>
      <c r="M95" s="4" t="str">
        <f aca="true">IF(OR(L95="Sin info, no aplica",L95="Cerrado, no volver a tocar",L95="Cliente, no prospectar"),"",IF(I95="enviado",DATEVALUE(A95)+2,IF(I95="respondio",TODAY(),"")))</f>
        <v/>
      </c>
    </row>
    <row r="96" customFormat="false" ht="15" hidden="false" customHeight="false" outlineLevel="0" collapsed="false">
      <c r="A96" s="2" t="s">
        <v>238</v>
      </c>
      <c r="B96" s="2" t="s">
        <v>342</v>
      </c>
      <c r="C96" s="2" t="s">
        <v>343</v>
      </c>
      <c r="D96" s="2" t="s">
        <v>344</v>
      </c>
      <c r="E96" s="3" t="n">
        <v>11</v>
      </c>
      <c r="F96" s="3" t="n">
        <v>5</v>
      </c>
      <c r="G96" s="2" t="s">
        <v>17</v>
      </c>
      <c r="H96" s="2" t="s">
        <v>345</v>
      </c>
      <c r="I96" s="2" t="s">
        <v>19</v>
      </c>
      <c r="J96" s="2" t="s">
        <v>346</v>
      </c>
      <c r="K96" s="3" t="n">
        <f aca="true">IFERROR(DATEDIF(DATEVALUE(A96),TODAY(),"d"),"")</f>
        <v>11</v>
      </c>
      <c r="L96" s="2" t="str">
        <f aca="false">IF(OR(E96="",H96="",H96="anotado sin numero"),"Sin info, no aplica",IF(I96="no","Cerrado, no volver a tocar",IF(I96="vendido","Cliente, no prospectar",IF(I96="respondio","Atender la conversacion hoy",IF(I96="enviado",IF(K96&gt;=1,"Mandar seguimiento (24-48h)","Esperar respuesta"),"Enviar primer mensaje")))))</f>
        <v>Enviar primer mensaje</v>
      </c>
      <c r="M96" s="4" t="str">
        <f aca="true">IF(OR(L96="Sin info, no aplica",L96="Cerrado, no volver a tocar",L96="Cliente, no prospectar"),"",IF(I96="enviado",DATEVALUE(A96)+2,IF(I96="respondio",TODAY(),"")))</f>
        <v/>
      </c>
    </row>
    <row r="97" customFormat="false" ht="15" hidden="false" customHeight="false" outlineLevel="0" collapsed="false">
      <c r="A97" s="2" t="s">
        <v>238</v>
      </c>
      <c r="B97" s="2" t="s">
        <v>347</v>
      </c>
      <c r="C97" s="2" t="s">
        <v>343</v>
      </c>
      <c r="D97" s="2" t="s">
        <v>16</v>
      </c>
      <c r="E97" s="3" t="n">
        <v>18</v>
      </c>
      <c r="F97" s="3" t="n">
        <v>4.6</v>
      </c>
      <c r="G97" s="2" t="s">
        <v>17</v>
      </c>
      <c r="H97" s="2" t="s">
        <v>348</v>
      </c>
      <c r="I97" s="2" t="s">
        <v>19</v>
      </c>
      <c r="J97" s="2" t="s">
        <v>349</v>
      </c>
      <c r="K97" s="3" t="n">
        <f aca="true">IFERROR(DATEDIF(DATEVALUE(A97),TODAY(),"d"),"")</f>
        <v>11</v>
      </c>
      <c r="L97" s="2" t="str">
        <f aca="false">IF(OR(E97="",H97="",H97="anotado sin numero"),"Sin info, no aplica",IF(I97="no","Cerrado, no volver a tocar",IF(I97="vendido","Cliente, no prospectar",IF(I97="respondio","Atender la conversacion hoy",IF(I97="enviado",IF(K97&gt;=1,"Mandar seguimiento (24-48h)","Esperar respuesta"),"Enviar primer mensaje")))))</f>
        <v>Enviar primer mensaje</v>
      </c>
      <c r="M97" s="4" t="str">
        <f aca="true">IF(OR(L97="Sin info, no aplica",L97="Cerrado, no volver a tocar",L97="Cliente, no prospectar"),"",IF(I97="enviado",DATEVALUE(A97)+2,IF(I97="respondio",TODAY(),"")))</f>
        <v/>
      </c>
    </row>
    <row r="98" customFormat="false" ht="15" hidden="false" customHeight="false" outlineLevel="0" collapsed="false">
      <c r="A98" s="2" t="s">
        <v>238</v>
      </c>
      <c r="B98" s="2" t="s">
        <v>350</v>
      </c>
      <c r="C98" s="2" t="s">
        <v>351</v>
      </c>
      <c r="D98" s="2" t="s">
        <v>215</v>
      </c>
      <c r="E98" s="3" t="n">
        <v>16</v>
      </c>
      <c r="F98" s="3" t="n">
        <v>4.8</v>
      </c>
      <c r="G98" s="2" t="s">
        <v>17</v>
      </c>
      <c r="H98" s="2" t="s">
        <v>352</v>
      </c>
      <c r="I98" s="2" t="s">
        <v>19</v>
      </c>
      <c r="J98" s="2" t="s">
        <v>353</v>
      </c>
      <c r="K98" s="3" t="n">
        <f aca="true">IFERROR(DATEDIF(DATEVALUE(A98),TODAY(),"d"),"")</f>
        <v>11</v>
      </c>
      <c r="L98" s="2" t="str">
        <f aca="false">IF(OR(E98="",H98="",H98="anotado sin numero"),"Sin info, no aplica",IF(I98="no","Cerrado, no volver a tocar",IF(I98="vendido","Cliente, no prospectar",IF(I98="respondio","Atender la conversacion hoy",IF(I98="enviado",IF(K98&gt;=1,"Mandar seguimiento (24-48h)","Esperar respuesta"),"Enviar primer mensaje")))))</f>
        <v>Enviar primer mensaje</v>
      </c>
      <c r="M98" s="4" t="str">
        <f aca="true">IF(OR(L98="Sin info, no aplica",L98="Cerrado, no volver a tocar",L98="Cliente, no prospectar"),"",IF(I98="enviado",DATEVALUE(A98)+2,IF(I98="respondio",TODAY(),"")))</f>
        <v/>
      </c>
    </row>
    <row r="99" customFormat="false" ht="15" hidden="false" customHeight="false" outlineLevel="0" collapsed="false">
      <c r="A99" s="2" t="s">
        <v>238</v>
      </c>
      <c r="B99" s="2" t="s">
        <v>354</v>
      </c>
      <c r="C99" s="2" t="s">
        <v>355</v>
      </c>
      <c r="D99" s="2" t="s">
        <v>16</v>
      </c>
      <c r="E99" s="3" t="n">
        <v>18</v>
      </c>
      <c r="F99" s="3" t="n">
        <v>4.8</v>
      </c>
      <c r="G99" s="2" t="s">
        <v>49</v>
      </c>
      <c r="H99" s="2" t="s">
        <v>356</v>
      </c>
      <c r="I99" s="2" t="s">
        <v>19</v>
      </c>
      <c r="J99" s="2" t="s">
        <v>357</v>
      </c>
      <c r="K99" s="3" t="n">
        <f aca="true">IFERROR(DATEDIF(DATEVALUE(A99),TODAY(),"d"),"")</f>
        <v>11</v>
      </c>
      <c r="L99" s="2" t="str">
        <f aca="false">IF(OR(E99="",H99="",H99="anotado sin numero"),"Sin info, no aplica",IF(I99="no","Cerrado, no volver a tocar",IF(I99="vendido","Cliente, no prospectar",IF(I99="respondio","Atender la conversacion hoy",IF(I99="enviado",IF(K99&gt;=1,"Mandar seguimiento (24-48h)","Esperar respuesta"),"Enviar primer mensaje")))))</f>
        <v>Enviar primer mensaje</v>
      </c>
      <c r="M99" s="4" t="str">
        <f aca="true">IF(OR(L99="Sin info, no aplica",L99="Cerrado, no volver a tocar",L99="Cliente, no prospectar"),"",IF(I99="enviado",DATEVALUE(A99)+2,IF(I99="respondio",TODAY(),"")))</f>
        <v/>
      </c>
    </row>
    <row r="100" customFormat="false" ht="15" hidden="false" customHeight="false" outlineLevel="0" collapsed="false">
      <c r="A100" s="2" t="s">
        <v>238</v>
      </c>
      <c r="B100" s="2" t="s">
        <v>358</v>
      </c>
      <c r="C100" s="2" t="s">
        <v>343</v>
      </c>
      <c r="D100" s="2" t="s">
        <v>16</v>
      </c>
      <c r="E100" s="3" t="n">
        <v>11</v>
      </c>
      <c r="F100" s="3" t="n">
        <v>5</v>
      </c>
      <c r="G100" s="2" t="s">
        <v>49</v>
      </c>
      <c r="H100" s="2" t="s">
        <v>359</v>
      </c>
      <c r="I100" s="2" t="s">
        <v>19</v>
      </c>
      <c r="J100" s="2" t="s">
        <v>357</v>
      </c>
      <c r="K100" s="3" t="n">
        <f aca="true">IFERROR(DATEDIF(DATEVALUE(A100),TODAY(),"d"),"")</f>
        <v>11</v>
      </c>
      <c r="L100" s="2" t="str">
        <f aca="false">IF(OR(E100="",H100="",H100="anotado sin numero"),"Sin info, no aplica",IF(I100="no","Cerrado, no volver a tocar",IF(I100="vendido","Cliente, no prospectar",IF(I100="respondio","Atender la conversacion hoy",IF(I100="enviado",IF(K100&gt;=1,"Mandar seguimiento (24-48h)","Esperar respuesta"),"Enviar primer mensaje")))))</f>
        <v>Enviar primer mensaje</v>
      </c>
      <c r="M100" s="4" t="str">
        <f aca="true">IF(OR(L100="Sin info, no aplica",L100="Cerrado, no volver a tocar",L100="Cliente, no prospectar"),"",IF(I100="enviado",DATEVALUE(A100)+2,IF(I100="respondio",TODAY(),"")))</f>
        <v/>
      </c>
    </row>
    <row r="101" customFormat="false" ht="15" hidden="false" customHeight="false" outlineLevel="0" collapsed="false">
      <c r="A101" s="2" t="s">
        <v>360</v>
      </c>
      <c r="B101" s="2" t="s">
        <v>361</v>
      </c>
      <c r="C101" s="2" t="s">
        <v>362</v>
      </c>
      <c r="D101" s="2" t="s">
        <v>363</v>
      </c>
      <c r="E101" s="3"/>
      <c r="F101" s="3"/>
      <c r="G101" s="2" t="s">
        <v>364</v>
      </c>
      <c r="H101" s="2" t="s">
        <v>365</v>
      </c>
      <c r="I101" s="2" t="s">
        <v>19</v>
      </c>
      <c r="J101" s="2" t="s">
        <v>366</v>
      </c>
      <c r="K101" s="3" t="n">
        <f aca="true">IFERROR(DATEDIF(DATEVALUE(A101),TODAY(),"d"),"")</f>
        <v>10</v>
      </c>
      <c r="L101" s="2" t="str">
        <f aca="false">IF(OR(E101="",H101="",H101="anotado sin numero"),"Sin info, no aplica",IF(I101="no","Cerrado, no volver a tocar",IF(I101="vendido","Cliente, no prospectar",IF(I101="respondio","Atender la conversacion hoy",IF(I101="enviado",IF(K101&gt;=1,"Mandar seguimiento (24-48h)","Esperar respuesta"),"Enviar primer mensaje")))))</f>
        <v>Sin info, no aplica</v>
      </c>
      <c r="M101" s="4" t="str">
        <f aca="true">IF(OR(L101="Sin info, no aplica",L101="Cerrado, no volver a tocar",L101="Cliente, no prospectar"),"",IF(I101="enviado",DATEVALUE(A101)+2,IF(I101="respondio",TODAY(),"")))</f>
        <v/>
      </c>
    </row>
    <row r="102" customFormat="false" ht="15" hidden="false" customHeight="false" outlineLevel="0" collapsed="false">
      <c r="A102" s="2" t="s">
        <v>360</v>
      </c>
      <c r="B102" s="2" t="s">
        <v>367</v>
      </c>
      <c r="C102" s="2" t="s">
        <v>362</v>
      </c>
      <c r="D102" s="2" t="s">
        <v>363</v>
      </c>
      <c r="E102" s="3"/>
      <c r="F102" s="3"/>
      <c r="G102" s="2" t="s">
        <v>364</v>
      </c>
      <c r="H102" s="2" t="s">
        <v>368</v>
      </c>
      <c r="I102" s="2" t="s">
        <v>19</v>
      </c>
      <c r="J102" s="2" t="s">
        <v>369</v>
      </c>
      <c r="K102" s="3" t="n">
        <f aca="true">IFERROR(DATEDIF(DATEVALUE(A102),TODAY(),"d"),"")</f>
        <v>10</v>
      </c>
      <c r="L102" s="2" t="str">
        <f aca="false">IF(OR(E102="",H102="",H102="anotado sin numero"),"Sin info, no aplica",IF(I102="no","Cerrado, no volver a tocar",IF(I102="vendido","Cliente, no prospectar",IF(I102="respondio","Atender la conversacion hoy",IF(I102="enviado",IF(K102&gt;=1,"Mandar seguimiento (24-48h)","Esperar respuesta"),"Enviar primer mensaje")))))</f>
        <v>Sin info, no aplica</v>
      </c>
      <c r="M102" s="4" t="str">
        <f aca="true">IF(OR(L102="Sin info, no aplica",L102="Cerrado, no volver a tocar",L102="Cliente, no prospectar"),"",IF(I102="enviado",DATEVALUE(A102)+2,IF(I102="respondio",TODAY(),"")))</f>
        <v/>
      </c>
    </row>
    <row r="103" customFormat="false" ht="15" hidden="false" customHeight="false" outlineLevel="0" collapsed="false">
      <c r="A103" s="2" t="s">
        <v>360</v>
      </c>
      <c r="B103" s="2" t="s">
        <v>370</v>
      </c>
      <c r="C103" s="2" t="s">
        <v>362</v>
      </c>
      <c r="D103" s="2" t="s">
        <v>363</v>
      </c>
      <c r="E103" s="3"/>
      <c r="F103" s="3"/>
      <c r="G103" s="2" t="s">
        <v>364</v>
      </c>
      <c r="H103" s="2" t="s">
        <v>371</v>
      </c>
      <c r="I103" s="2" t="s">
        <v>19</v>
      </c>
      <c r="J103" s="2" t="s">
        <v>372</v>
      </c>
      <c r="K103" s="3" t="n">
        <f aca="true">IFERROR(DATEDIF(DATEVALUE(A103),TODAY(),"d"),"")</f>
        <v>10</v>
      </c>
      <c r="L103" s="2" t="str">
        <f aca="false">IF(OR(E103="",H103="",H103="anotado sin numero"),"Sin info, no aplica",IF(I103="no","Cerrado, no volver a tocar",IF(I103="vendido","Cliente, no prospectar",IF(I103="respondio","Atender la conversacion hoy",IF(I103="enviado",IF(K103&gt;=1,"Mandar seguimiento (24-48h)","Esperar respuesta"),"Enviar primer mensaje")))))</f>
        <v>Sin info, no aplica</v>
      </c>
      <c r="M103" s="4" t="str">
        <f aca="true">IF(OR(L103="Sin info, no aplica",L103="Cerrado, no volver a tocar",L103="Cliente, no prospectar"),"",IF(I103="enviado",DATEVALUE(A103)+2,IF(I103="respondio",TODAY(),"")))</f>
        <v/>
      </c>
    </row>
    <row r="104" customFormat="false" ht="15" hidden="false" customHeight="false" outlineLevel="0" collapsed="false">
      <c r="A104" s="2" t="s">
        <v>360</v>
      </c>
      <c r="B104" s="2" t="s">
        <v>373</v>
      </c>
      <c r="C104" s="2" t="s">
        <v>374</v>
      </c>
      <c r="D104" s="2" t="s">
        <v>363</v>
      </c>
      <c r="E104" s="3"/>
      <c r="F104" s="3"/>
      <c r="G104" s="2" t="s">
        <v>364</v>
      </c>
      <c r="H104" s="2" t="s">
        <v>375</v>
      </c>
      <c r="I104" s="2" t="s">
        <v>159</v>
      </c>
      <c r="J104" s="2" t="s">
        <v>376</v>
      </c>
      <c r="K104" s="3" t="n">
        <f aca="true">IFERROR(DATEDIF(DATEVALUE(A104),TODAY(),"d"),"")</f>
        <v>10</v>
      </c>
      <c r="L104" s="2" t="str">
        <f aca="false">IF(OR(E104="",H104="",H104="anotado sin numero"),"Sin info, no aplica",IF(I104="no","Cerrado, no volver a tocar",IF(I104="vendido","Cliente, no prospectar",IF(I104="respondio","Atender la conversacion hoy",IF(I104="enviado",IF(K104&gt;=1,"Mandar seguimiento (24-48h)","Esperar respuesta"),"Enviar primer mensaje")))))</f>
        <v>Sin info, no aplica</v>
      </c>
      <c r="M104" s="4" t="str">
        <f aca="true">IF(OR(L104="Sin info, no aplica",L104="Cerrado, no volver a tocar",L104="Cliente, no prospectar"),"",IF(I104="enviado",DATEVALUE(A104)+2,IF(I104="respondio",TODAY(),"")))</f>
        <v/>
      </c>
    </row>
    <row r="105" customFormat="false" ht="15" hidden="false" customHeight="false" outlineLevel="0" collapsed="false">
      <c r="A105" s="2" t="s">
        <v>360</v>
      </c>
      <c r="B105" s="2" t="s">
        <v>377</v>
      </c>
      <c r="C105" s="2" t="s">
        <v>362</v>
      </c>
      <c r="D105" s="2" t="s">
        <v>363</v>
      </c>
      <c r="E105" s="3"/>
      <c r="F105" s="3"/>
      <c r="G105" s="2" t="s">
        <v>364</v>
      </c>
      <c r="H105" s="2" t="s">
        <v>378</v>
      </c>
      <c r="I105" s="2" t="s">
        <v>19</v>
      </c>
      <c r="J105" s="2" t="s">
        <v>372</v>
      </c>
      <c r="K105" s="3" t="n">
        <f aca="true">IFERROR(DATEDIF(DATEVALUE(A105),TODAY(),"d"),"")</f>
        <v>10</v>
      </c>
      <c r="L105" s="2" t="str">
        <f aca="false">IF(OR(E105="",H105="",H105="anotado sin numero"),"Sin info, no aplica",IF(I105="no","Cerrado, no volver a tocar",IF(I105="vendido","Cliente, no prospectar",IF(I105="respondio","Atender la conversacion hoy",IF(I105="enviado",IF(K105&gt;=1,"Mandar seguimiento (24-48h)","Esperar respuesta"),"Enviar primer mensaje")))))</f>
        <v>Sin info, no aplica</v>
      </c>
      <c r="M105" s="4" t="str">
        <f aca="true">IF(OR(L105="Sin info, no aplica",L105="Cerrado, no volver a tocar",L105="Cliente, no prospectar"),"",IF(I105="enviado",DATEVALUE(A105)+2,IF(I105="respondio",TODAY(),"")))</f>
        <v/>
      </c>
    </row>
    <row r="106" customFormat="false" ht="15" hidden="false" customHeight="false" outlineLevel="0" collapsed="false">
      <c r="A106" s="2" t="s">
        <v>360</v>
      </c>
      <c r="B106" s="2" t="s">
        <v>379</v>
      </c>
      <c r="C106" s="2" t="s">
        <v>362</v>
      </c>
      <c r="D106" s="2" t="s">
        <v>363</v>
      </c>
      <c r="E106" s="3"/>
      <c r="F106" s="3"/>
      <c r="G106" s="2" t="s">
        <v>364</v>
      </c>
      <c r="H106" s="2" t="s">
        <v>380</v>
      </c>
      <c r="I106" s="2" t="s">
        <v>19</v>
      </c>
      <c r="J106" s="2" t="s">
        <v>381</v>
      </c>
      <c r="K106" s="3" t="n">
        <f aca="true">IFERROR(DATEDIF(DATEVALUE(A106),TODAY(),"d"),"")</f>
        <v>10</v>
      </c>
      <c r="L106" s="2" t="str">
        <f aca="false">IF(OR(E106="",H106="",H106="anotado sin numero"),"Sin info, no aplica",IF(I106="no","Cerrado, no volver a tocar",IF(I106="vendido","Cliente, no prospectar",IF(I106="respondio","Atender la conversacion hoy",IF(I106="enviado",IF(K106&gt;=1,"Mandar seguimiento (24-48h)","Esperar respuesta"),"Enviar primer mensaje")))))</f>
        <v>Sin info, no aplica</v>
      </c>
      <c r="M106" s="4" t="str">
        <f aca="true">IF(OR(L106="Sin info, no aplica",L106="Cerrado, no volver a tocar",L106="Cliente, no prospectar"),"",IF(I106="enviado",DATEVALUE(A106)+2,IF(I106="respondio",TODAY(),"")))</f>
        <v/>
      </c>
    </row>
    <row r="107" customFormat="false" ht="15" hidden="false" customHeight="false" outlineLevel="0" collapsed="false">
      <c r="A107" s="2" t="s">
        <v>360</v>
      </c>
      <c r="B107" s="2" t="s">
        <v>382</v>
      </c>
      <c r="C107" s="2" t="s">
        <v>383</v>
      </c>
      <c r="D107" s="2" t="s">
        <v>363</v>
      </c>
      <c r="E107" s="3"/>
      <c r="F107" s="3"/>
      <c r="G107" s="2" t="s">
        <v>364</v>
      </c>
      <c r="H107" s="2" t="s">
        <v>380</v>
      </c>
      <c r="I107" s="2" t="s">
        <v>19</v>
      </c>
      <c r="J107" s="2" t="s">
        <v>381</v>
      </c>
      <c r="K107" s="3" t="n">
        <f aca="true">IFERROR(DATEDIF(DATEVALUE(A107),TODAY(),"d"),"")</f>
        <v>10</v>
      </c>
      <c r="L107" s="2" t="str">
        <f aca="false">IF(OR(E107="",H107="",H107="anotado sin numero"),"Sin info, no aplica",IF(I107="no","Cerrado, no volver a tocar",IF(I107="vendido","Cliente, no prospectar",IF(I107="respondio","Atender la conversacion hoy",IF(I107="enviado",IF(K107&gt;=1,"Mandar seguimiento (24-48h)","Esperar respuesta"),"Enviar primer mensaje")))))</f>
        <v>Sin info, no aplica</v>
      </c>
      <c r="M107" s="4" t="str">
        <f aca="true">IF(OR(L107="Sin info, no aplica",L107="Cerrado, no volver a tocar",L107="Cliente, no prospectar"),"",IF(I107="enviado",DATEVALUE(A107)+2,IF(I107="respondio",TODAY(),"")))</f>
        <v/>
      </c>
    </row>
    <row r="108" customFormat="false" ht="15" hidden="false" customHeight="false" outlineLevel="0" collapsed="false">
      <c r="A108" s="2" t="s">
        <v>360</v>
      </c>
      <c r="B108" s="2" t="s">
        <v>384</v>
      </c>
      <c r="C108" s="2" t="s">
        <v>385</v>
      </c>
      <c r="D108" s="2" t="s">
        <v>363</v>
      </c>
      <c r="E108" s="3"/>
      <c r="F108" s="3"/>
      <c r="G108" s="2" t="s">
        <v>386</v>
      </c>
      <c r="H108" s="2" t="s">
        <v>387</v>
      </c>
      <c r="I108" s="2" t="s">
        <v>19</v>
      </c>
      <c r="J108" s="2" t="s">
        <v>388</v>
      </c>
      <c r="K108" s="3" t="n">
        <f aca="true">IFERROR(DATEDIF(DATEVALUE(A108),TODAY(),"d"),"")</f>
        <v>10</v>
      </c>
      <c r="L108" s="2" t="str">
        <f aca="false">IF(OR(E108="",H108="",H108="anotado sin numero"),"Sin info, no aplica",IF(I108="no","Cerrado, no volver a tocar",IF(I108="vendido","Cliente, no prospectar",IF(I108="respondio","Atender la conversacion hoy",IF(I108="enviado",IF(K108&gt;=1,"Mandar seguimiento (24-48h)","Esperar respuesta"),"Enviar primer mensaje")))))</f>
        <v>Sin info, no aplica</v>
      </c>
      <c r="M108" s="4" t="str">
        <f aca="true">IF(OR(L108="Sin info, no aplica",L108="Cerrado, no volver a tocar",L108="Cliente, no prospectar"),"",IF(I108="enviado",DATEVALUE(A108)+2,IF(I108="respondio",TODAY(),"")))</f>
        <v/>
      </c>
    </row>
    <row r="109" customFormat="false" ht="15" hidden="false" customHeight="false" outlineLevel="0" collapsed="false">
      <c r="A109" s="2" t="s">
        <v>360</v>
      </c>
      <c r="B109" s="2" t="s">
        <v>389</v>
      </c>
      <c r="C109" s="2" t="s">
        <v>362</v>
      </c>
      <c r="D109" s="2" t="s">
        <v>363</v>
      </c>
      <c r="E109" s="3"/>
      <c r="F109" s="3"/>
      <c r="G109" s="2" t="s">
        <v>386</v>
      </c>
      <c r="H109" s="2" t="s">
        <v>390</v>
      </c>
      <c r="I109" s="2" t="s">
        <v>19</v>
      </c>
      <c r="J109" s="2" t="s">
        <v>372</v>
      </c>
      <c r="K109" s="3" t="n">
        <f aca="true">IFERROR(DATEDIF(DATEVALUE(A109),TODAY(),"d"),"")</f>
        <v>10</v>
      </c>
      <c r="L109" s="2" t="str">
        <f aca="false">IF(OR(E109="",H109="",H109="anotado sin numero"),"Sin info, no aplica",IF(I109="no","Cerrado, no volver a tocar",IF(I109="vendido","Cliente, no prospectar",IF(I109="respondio","Atender la conversacion hoy",IF(I109="enviado",IF(K109&gt;=1,"Mandar seguimiento (24-48h)","Esperar respuesta"),"Enviar primer mensaje")))))</f>
        <v>Sin info, no aplica</v>
      </c>
      <c r="M109" s="4" t="str">
        <f aca="true">IF(OR(L109="Sin info, no aplica",L109="Cerrado, no volver a tocar",L109="Cliente, no prospectar"),"",IF(I109="enviado",DATEVALUE(A109)+2,IF(I109="respondio",TODAY(),"")))</f>
        <v/>
      </c>
    </row>
    <row r="110" customFormat="false" ht="15" hidden="false" customHeight="false" outlineLevel="0" collapsed="false">
      <c r="A110" s="2" t="s">
        <v>360</v>
      </c>
      <c r="B110" s="2" t="s">
        <v>391</v>
      </c>
      <c r="C110" s="2" t="s">
        <v>392</v>
      </c>
      <c r="D110" s="2" t="s">
        <v>363</v>
      </c>
      <c r="E110" s="3"/>
      <c r="F110" s="3"/>
      <c r="G110" s="2" t="s">
        <v>386</v>
      </c>
      <c r="H110" s="2" t="s">
        <v>393</v>
      </c>
      <c r="I110" s="2" t="s">
        <v>19</v>
      </c>
      <c r="J110" s="2" t="s">
        <v>394</v>
      </c>
      <c r="K110" s="3" t="n">
        <f aca="true">IFERROR(DATEDIF(DATEVALUE(A110),TODAY(),"d"),"")</f>
        <v>10</v>
      </c>
      <c r="L110" s="2" t="str">
        <f aca="false">IF(OR(E110="",H110="",H110="anotado sin numero"),"Sin info, no aplica",IF(I110="no","Cerrado, no volver a tocar",IF(I110="vendido","Cliente, no prospectar",IF(I110="respondio","Atender la conversacion hoy",IF(I110="enviado",IF(K110&gt;=1,"Mandar seguimiento (24-48h)","Esperar respuesta"),"Enviar primer mensaje")))))</f>
        <v>Sin info, no aplica</v>
      </c>
      <c r="M110" s="4" t="str">
        <f aca="true">IF(OR(L110="Sin info, no aplica",L110="Cerrado, no volver a tocar",L110="Cliente, no prospectar"),"",IF(I110="enviado",DATEVALUE(A110)+2,IF(I110="respondio",TODAY(),"")))</f>
        <v/>
      </c>
    </row>
    <row r="111" customFormat="false" ht="15" hidden="false" customHeight="false" outlineLevel="0" collapsed="false">
      <c r="A111" s="2" t="s">
        <v>360</v>
      </c>
      <c r="B111" s="2" t="s">
        <v>395</v>
      </c>
      <c r="C111" s="2" t="s">
        <v>362</v>
      </c>
      <c r="D111" s="2" t="s">
        <v>363</v>
      </c>
      <c r="E111" s="3"/>
      <c r="F111" s="3"/>
      <c r="G111" s="2" t="s">
        <v>386</v>
      </c>
      <c r="H111" s="2" t="s">
        <v>396</v>
      </c>
      <c r="I111" s="2" t="s">
        <v>19</v>
      </c>
      <c r="J111" s="2" t="s">
        <v>372</v>
      </c>
      <c r="K111" s="3" t="n">
        <f aca="true">IFERROR(DATEDIF(DATEVALUE(A111),TODAY(),"d"),"")</f>
        <v>10</v>
      </c>
      <c r="L111" s="2" t="str">
        <f aca="false">IF(OR(E111="",H111="",H111="anotado sin numero"),"Sin info, no aplica",IF(I111="no","Cerrado, no volver a tocar",IF(I111="vendido","Cliente, no prospectar",IF(I111="respondio","Atender la conversacion hoy",IF(I111="enviado",IF(K111&gt;=1,"Mandar seguimiento (24-48h)","Esperar respuesta"),"Enviar primer mensaje")))))</f>
        <v>Sin info, no aplica</v>
      </c>
      <c r="M111" s="4" t="str">
        <f aca="true">IF(OR(L111="Sin info, no aplica",L111="Cerrado, no volver a tocar",L111="Cliente, no prospectar"),"",IF(I111="enviado",DATEVALUE(A111)+2,IF(I111="respondio",TODAY(),"")))</f>
        <v/>
      </c>
    </row>
    <row r="112" customFormat="false" ht="15" hidden="false" customHeight="false" outlineLevel="0" collapsed="false">
      <c r="A112" s="2" t="s">
        <v>360</v>
      </c>
      <c r="B112" s="2" t="s">
        <v>397</v>
      </c>
      <c r="C112" s="2" t="s">
        <v>362</v>
      </c>
      <c r="D112" s="2" t="s">
        <v>363</v>
      </c>
      <c r="E112" s="3"/>
      <c r="F112" s="3"/>
      <c r="G112" s="2" t="s">
        <v>386</v>
      </c>
      <c r="H112" s="2" t="s">
        <v>398</v>
      </c>
      <c r="I112" s="2" t="s">
        <v>19</v>
      </c>
      <c r="J112" s="2" t="s">
        <v>372</v>
      </c>
      <c r="K112" s="3" t="n">
        <f aca="true">IFERROR(DATEDIF(DATEVALUE(A112),TODAY(),"d"),"")</f>
        <v>10</v>
      </c>
      <c r="L112" s="2" t="str">
        <f aca="false">IF(OR(E112="",H112="",H112="anotado sin numero"),"Sin info, no aplica",IF(I112="no","Cerrado, no volver a tocar",IF(I112="vendido","Cliente, no prospectar",IF(I112="respondio","Atender la conversacion hoy",IF(I112="enviado",IF(K112&gt;=1,"Mandar seguimiento (24-48h)","Esperar respuesta"),"Enviar primer mensaje")))))</f>
        <v>Sin info, no aplica</v>
      </c>
      <c r="M112" s="4" t="str">
        <f aca="true">IF(OR(L112="Sin info, no aplica",L112="Cerrado, no volver a tocar",L112="Cliente, no prospectar"),"",IF(I112="enviado",DATEVALUE(A112)+2,IF(I112="respondio",TODAY(),"")))</f>
        <v/>
      </c>
    </row>
    <row r="113" customFormat="false" ht="15" hidden="false" customHeight="false" outlineLevel="0" collapsed="false">
      <c r="A113" s="2" t="s">
        <v>399</v>
      </c>
      <c r="B113" s="2" t="s">
        <v>400</v>
      </c>
      <c r="C113" s="2" t="s">
        <v>343</v>
      </c>
      <c r="D113" s="2" t="s">
        <v>186</v>
      </c>
      <c r="E113" s="3" t="n">
        <v>17</v>
      </c>
      <c r="F113" s="3" t="n">
        <v>5</v>
      </c>
      <c r="G113" s="2" t="s">
        <v>17</v>
      </c>
      <c r="H113" s="2" t="s">
        <v>401</v>
      </c>
      <c r="I113" s="2" t="s">
        <v>19</v>
      </c>
      <c r="J113" s="2" t="s">
        <v>402</v>
      </c>
      <c r="K113" s="3" t="n">
        <f aca="true">IFERROR(DATEDIF(DATEVALUE(A113),TODAY(),"d"),"")</f>
        <v>8</v>
      </c>
      <c r="L113" s="2" t="str">
        <f aca="false">IF(OR(E113="",H113="",H113="anotado sin numero"),"Sin info, no aplica",IF(I113="no","Cerrado, no volver a tocar",IF(I113="vendido","Cliente, no prospectar",IF(I113="respondio","Atender la conversacion hoy",IF(I113="enviado",IF(K113&gt;=1,"Mandar seguimiento (24-48h)","Esperar respuesta"),"Enviar primer mensaje")))))</f>
        <v>Enviar primer mensaje</v>
      </c>
      <c r="M113" s="4" t="str">
        <f aca="true">IF(OR(L113="Sin info, no aplica",L113="Cerrado, no volver a tocar",L113="Cliente, no prospectar"),"",IF(I113="enviado",DATEVALUE(A113)+2,IF(I113="respondio",TODAY(),"")))</f>
        <v/>
      </c>
    </row>
    <row r="114" customFormat="false" ht="15" hidden="false" customHeight="false" outlineLevel="0" collapsed="false">
      <c r="A114" s="2" t="s">
        <v>399</v>
      </c>
      <c r="B114" s="2" t="s">
        <v>403</v>
      </c>
      <c r="C114" s="2" t="s">
        <v>343</v>
      </c>
      <c r="D114" s="2" t="s">
        <v>404</v>
      </c>
      <c r="E114" s="3" t="n">
        <v>8</v>
      </c>
      <c r="F114" s="3" t="n">
        <v>5</v>
      </c>
      <c r="G114" s="2" t="s">
        <v>17</v>
      </c>
      <c r="H114" s="2" t="s">
        <v>405</v>
      </c>
      <c r="I114" s="2" t="s">
        <v>19</v>
      </c>
      <c r="J114" s="2" t="s">
        <v>406</v>
      </c>
      <c r="K114" s="3" t="n">
        <f aca="true">IFERROR(DATEDIF(DATEVALUE(A114),TODAY(),"d"),"")</f>
        <v>8</v>
      </c>
      <c r="L114" s="2" t="str">
        <f aca="false">IF(OR(E114="",H114="",H114="anotado sin numero"),"Sin info, no aplica",IF(I114="no","Cerrado, no volver a tocar",IF(I114="vendido","Cliente, no prospectar",IF(I114="respondio","Atender la conversacion hoy",IF(I114="enviado",IF(K114&gt;=1,"Mandar seguimiento (24-48h)","Esperar respuesta"),"Enviar primer mensaje")))))</f>
        <v>Enviar primer mensaje</v>
      </c>
      <c r="M114" s="4" t="str">
        <f aca="true">IF(OR(L114="Sin info, no aplica",L114="Cerrado, no volver a tocar",L114="Cliente, no prospectar"),"",IF(I114="enviado",DATEVALUE(A114)+2,IF(I114="respondio",TODAY(),"")))</f>
        <v/>
      </c>
    </row>
    <row r="115" customFormat="false" ht="15" hidden="false" customHeight="false" outlineLevel="0" collapsed="false">
      <c r="A115" s="2" t="s">
        <v>399</v>
      </c>
      <c r="B115" s="2" t="s">
        <v>407</v>
      </c>
      <c r="C115" s="2" t="s">
        <v>343</v>
      </c>
      <c r="D115" s="2" t="s">
        <v>408</v>
      </c>
      <c r="E115" s="3" t="n">
        <v>11</v>
      </c>
      <c r="F115" s="3" t="n">
        <v>4.6</v>
      </c>
      <c r="G115" s="2" t="s">
        <v>17</v>
      </c>
      <c r="H115" s="2" t="s">
        <v>409</v>
      </c>
      <c r="I115" s="2" t="s">
        <v>19</v>
      </c>
      <c r="J115" s="2" t="s">
        <v>410</v>
      </c>
      <c r="K115" s="3" t="n">
        <f aca="true">IFERROR(DATEDIF(DATEVALUE(A115),TODAY(),"d"),"")</f>
        <v>8</v>
      </c>
      <c r="L115" s="2" t="str">
        <f aca="false">IF(OR(E115="",H115="",H115="anotado sin numero"),"Sin info, no aplica",IF(I115="no","Cerrado, no volver a tocar",IF(I115="vendido","Cliente, no prospectar",IF(I115="respondio","Atender la conversacion hoy",IF(I115="enviado",IF(K115&gt;=1,"Mandar seguimiento (24-48h)","Esperar respuesta"),"Enviar primer mensaje")))))</f>
        <v>Enviar primer mensaje</v>
      </c>
      <c r="M115" s="4" t="str">
        <f aca="true">IF(OR(L115="Sin info, no aplica",L115="Cerrado, no volver a tocar",L115="Cliente, no prospectar"),"",IF(I115="enviado",DATEVALUE(A115)+2,IF(I115="respondio",TODAY(),"")))</f>
        <v/>
      </c>
    </row>
    <row r="116" customFormat="false" ht="15" hidden="false" customHeight="false" outlineLevel="0" collapsed="false">
      <c r="A116" s="2" t="s">
        <v>399</v>
      </c>
      <c r="B116" s="2" t="s">
        <v>411</v>
      </c>
      <c r="C116" s="2" t="s">
        <v>412</v>
      </c>
      <c r="D116" s="2" t="s">
        <v>413</v>
      </c>
      <c r="E116" s="3" t="n">
        <v>7</v>
      </c>
      <c r="F116" s="3" t="n">
        <v>4.4</v>
      </c>
      <c r="G116" s="2" t="s">
        <v>17</v>
      </c>
      <c r="H116" s="2" t="s">
        <v>414</v>
      </c>
      <c r="I116" s="2" t="s">
        <v>19</v>
      </c>
      <c r="J116" s="2" t="s">
        <v>415</v>
      </c>
      <c r="K116" s="3" t="n">
        <f aca="true">IFERROR(DATEDIF(DATEVALUE(A116),TODAY(),"d"),"")</f>
        <v>8</v>
      </c>
      <c r="L116" s="2" t="str">
        <f aca="false">IF(OR(E116="",H116="",H116="anotado sin numero"),"Sin info, no aplica",IF(I116="no","Cerrado, no volver a tocar",IF(I116="vendido","Cliente, no prospectar",IF(I116="respondio","Atender la conversacion hoy",IF(I116="enviado",IF(K116&gt;=1,"Mandar seguimiento (24-48h)","Esperar respuesta"),"Enviar primer mensaje")))))</f>
        <v>Enviar primer mensaje</v>
      </c>
      <c r="M116" s="4" t="str">
        <f aca="true">IF(OR(L116="Sin info, no aplica",L116="Cerrado, no volver a tocar",L116="Cliente, no prospectar"),"",IF(I116="enviado",DATEVALUE(A116)+2,IF(I116="respondio",TODAY(),"")))</f>
        <v/>
      </c>
    </row>
    <row r="117" customFormat="false" ht="15" hidden="false" customHeight="false" outlineLevel="0" collapsed="false">
      <c r="A117" s="2" t="s">
        <v>399</v>
      </c>
      <c r="B117" s="2" t="s">
        <v>416</v>
      </c>
      <c r="C117" s="2" t="s">
        <v>383</v>
      </c>
      <c r="D117" s="2" t="s">
        <v>186</v>
      </c>
      <c r="E117" s="3" t="n">
        <v>6</v>
      </c>
      <c r="F117" s="3" t="n">
        <v>4.3</v>
      </c>
      <c r="G117" s="2" t="s">
        <v>17</v>
      </c>
      <c r="H117" s="2" t="s">
        <v>417</v>
      </c>
      <c r="I117" s="2" t="s">
        <v>19</v>
      </c>
      <c r="J117" s="2" t="s">
        <v>418</v>
      </c>
      <c r="K117" s="3" t="n">
        <f aca="true">IFERROR(DATEDIF(DATEVALUE(A117),TODAY(),"d"),"")</f>
        <v>8</v>
      </c>
      <c r="L117" s="2" t="str">
        <f aca="false">IF(OR(E117="",H117="",H117="anotado sin numero"),"Sin info, no aplica",IF(I117="no","Cerrado, no volver a tocar",IF(I117="vendido","Cliente, no prospectar",IF(I117="respondio","Atender la conversacion hoy",IF(I117="enviado",IF(K117&gt;=1,"Mandar seguimiento (24-48h)","Esperar respuesta"),"Enviar primer mensaje")))))</f>
        <v>Enviar primer mensaje</v>
      </c>
      <c r="M117" s="4" t="str">
        <f aca="true">IF(OR(L117="Sin info, no aplica",L117="Cerrado, no volver a tocar",L117="Cliente, no prospectar"),"",IF(I117="enviado",DATEVALUE(A117)+2,IF(I117="respondio",TODAY(),"")))</f>
        <v/>
      </c>
    </row>
    <row r="118" customFormat="false" ht="15" hidden="false" customHeight="false" outlineLevel="0" collapsed="false">
      <c r="A118" s="2" t="s">
        <v>399</v>
      </c>
      <c r="B118" s="2" t="s">
        <v>419</v>
      </c>
      <c r="C118" s="2" t="s">
        <v>300</v>
      </c>
      <c r="D118" s="2" t="s">
        <v>420</v>
      </c>
      <c r="E118" s="3" t="n">
        <v>17</v>
      </c>
      <c r="F118" s="3" t="n">
        <v>4.9</v>
      </c>
      <c r="G118" s="2" t="s">
        <v>17</v>
      </c>
      <c r="H118" s="2" t="s">
        <v>421</v>
      </c>
      <c r="I118" s="2" t="s">
        <v>19</v>
      </c>
      <c r="J118" s="2" t="s">
        <v>422</v>
      </c>
      <c r="K118" s="3" t="n">
        <f aca="true">IFERROR(DATEDIF(DATEVALUE(A118),TODAY(),"d"),"")</f>
        <v>8</v>
      </c>
      <c r="L118" s="2" t="str">
        <f aca="false">IF(OR(E118="",H118="",H118="anotado sin numero"),"Sin info, no aplica",IF(I118="no","Cerrado, no volver a tocar",IF(I118="vendido","Cliente, no prospectar",IF(I118="respondio","Atender la conversacion hoy",IF(I118="enviado",IF(K118&gt;=1,"Mandar seguimiento (24-48h)","Esperar respuesta"),"Enviar primer mensaje")))))</f>
        <v>Enviar primer mensaje</v>
      </c>
      <c r="M118" s="4" t="str">
        <f aca="true">IF(OR(L118="Sin info, no aplica",L118="Cerrado, no volver a tocar",L118="Cliente, no prospectar"),"",IF(I118="enviado",DATEVALUE(A118)+2,IF(I118="respondio",TODAY(),"")))</f>
        <v/>
      </c>
    </row>
    <row r="119" customFormat="false" ht="15" hidden="false" customHeight="false" outlineLevel="0" collapsed="false">
      <c r="A119" s="2" t="s">
        <v>399</v>
      </c>
      <c r="B119" s="2" t="s">
        <v>423</v>
      </c>
      <c r="C119" s="2" t="s">
        <v>424</v>
      </c>
      <c r="D119" s="2" t="s">
        <v>186</v>
      </c>
      <c r="E119" s="3" t="n">
        <v>14</v>
      </c>
      <c r="F119" s="3" t="n">
        <v>4.6</v>
      </c>
      <c r="G119" s="2" t="s">
        <v>17</v>
      </c>
      <c r="H119" s="2" t="s">
        <v>425</v>
      </c>
      <c r="I119" s="2" t="s">
        <v>19</v>
      </c>
      <c r="J119" s="2" t="s">
        <v>426</v>
      </c>
      <c r="K119" s="3" t="n">
        <f aca="true">IFERROR(DATEDIF(DATEVALUE(A119),TODAY(),"d"),"")</f>
        <v>8</v>
      </c>
      <c r="L119" s="2" t="str">
        <f aca="false">IF(OR(E119="",H119="",H119="anotado sin numero"),"Sin info, no aplica",IF(I119="no","Cerrado, no volver a tocar",IF(I119="vendido","Cliente, no prospectar",IF(I119="respondio","Atender la conversacion hoy",IF(I119="enviado",IF(K119&gt;=1,"Mandar seguimiento (24-48h)","Esperar respuesta"),"Enviar primer mensaje")))))</f>
        <v>Enviar primer mensaje</v>
      </c>
      <c r="M119" s="4" t="str">
        <f aca="true">IF(OR(L119="Sin info, no aplica",L119="Cerrado, no volver a tocar",L119="Cliente, no prospectar"),"",IF(I119="enviado",DATEVALUE(A119)+2,IF(I119="respondio",TODAY(),"")))</f>
        <v/>
      </c>
    </row>
    <row r="120" customFormat="false" ht="15" hidden="false" customHeight="false" outlineLevel="0" collapsed="false">
      <c r="A120" s="2" t="s">
        <v>399</v>
      </c>
      <c r="B120" s="2" t="s">
        <v>427</v>
      </c>
      <c r="C120" s="2" t="s">
        <v>424</v>
      </c>
      <c r="D120" s="2" t="s">
        <v>202</v>
      </c>
      <c r="E120" s="3" t="n">
        <v>2</v>
      </c>
      <c r="F120" s="3" t="n">
        <v>5</v>
      </c>
      <c r="G120" s="2" t="s">
        <v>17</v>
      </c>
      <c r="H120" s="2" t="s">
        <v>428</v>
      </c>
      <c r="I120" s="2" t="s">
        <v>19</v>
      </c>
      <c r="J120" s="2" t="s">
        <v>429</v>
      </c>
      <c r="K120" s="3" t="n">
        <f aca="true">IFERROR(DATEDIF(DATEVALUE(A120),TODAY(),"d"),"")</f>
        <v>8</v>
      </c>
      <c r="L120" s="2" t="str">
        <f aca="false">IF(OR(E120="",H120="",H120="anotado sin numero"),"Sin info, no aplica",IF(I120="no","Cerrado, no volver a tocar",IF(I120="vendido","Cliente, no prospectar",IF(I120="respondio","Atender la conversacion hoy",IF(I120="enviado",IF(K120&gt;=1,"Mandar seguimiento (24-48h)","Esperar respuesta"),"Enviar primer mensaje")))))</f>
        <v>Enviar primer mensaje</v>
      </c>
      <c r="M120" s="4" t="str">
        <f aca="true">IF(OR(L120="Sin info, no aplica",L120="Cerrado, no volver a tocar",L120="Cliente, no prospectar"),"",IF(I120="enviado",DATEVALUE(A120)+2,IF(I120="respondio",TODAY(),"")))</f>
        <v/>
      </c>
    </row>
    <row r="121" customFormat="false" ht="15" hidden="false" customHeight="false" outlineLevel="0" collapsed="false">
      <c r="A121" s="2" t="s">
        <v>399</v>
      </c>
      <c r="B121" s="2" t="s">
        <v>430</v>
      </c>
      <c r="C121" s="2" t="s">
        <v>424</v>
      </c>
      <c r="D121" s="2" t="s">
        <v>186</v>
      </c>
      <c r="E121" s="3" t="n">
        <v>4</v>
      </c>
      <c r="F121" s="3" t="n">
        <v>5</v>
      </c>
      <c r="G121" s="2" t="s">
        <v>17</v>
      </c>
      <c r="H121" s="2" t="s">
        <v>431</v>
      </c>
      <c r="I121" s="2" t="s">
        <v>19</v>
      </c>
      <c r="J121" s="2" t="s">
        <v>432</v>
      </c>
      <c r="K121" s="3" t="n">
        <f aca="true">IFERROR(DATEDIF(DATEVALUE(A121),TODAY(),"d"),"")</f>
        <v>8</v>
      </c>
      <c r="L121" s="2" t="str">
        <f aca="false">IF(OR(E121="",H121="",H121="anotado sin numero"),"Sin info, no aplica",IF(I121="no","Cerrado, no volver a tocar",IF(I121="vendido","Cliente, no prospectar",IF(I121="respondio","Atender la conversacion hoy",IF(I121="enviado",IF(K121&gt;=1,"Mandar seguimiento (24-48h)","Esperar respuesta"),"Enviar primer mensaje")))))</f>
        <v>Enviar primer mensaje</v>
      </c>
      <c r="M121" s="4" t="str">
        <f aca="true">IF(OR(L121="Sin info, no aplica",L121="Cerrado, no volver a tocar",L121="Cliente, no prospectar"),"",IF(I121="enviado",DATEVALUE(A121)+2,IF(I121="respondio",TODAY(),"")))</f>
        <v/>
      </c>
    </row>
    <row r="122" customFormat="false" ht="15" hidden="false" customHeight="false" outlineLevel="0" collapsed="false">
      <c r="A122" s="2" t="s">
        <v>399</v>
      </c>
      <c r="B122" s="2" t="s">
        <v>433</v>
      </c>
      <c r="C122" s="2" t="s">
        <v>434</v>
      </c>
      <c r="D122" s="2" t="s">
        <v>186</v>
      </c>
      <c r="E122" s="3" t="n">
        <v>7</v>
      </c>
      <c r="F122" s="3" t="n">
        <v>4.7</v>
      </c>
      <c r="G122" s="2" t="s">
        <v>17</v>
      </c>
      <c r="H122" s="2" t="s">
        <v>435</v>
      </c>
      <c r="I122" s="2" t="s">
        <v>19</v>
      </c>
      <c r="J122" s="2" t="s">
        <v>436</v>
      </c>
      <c r="K122" s="3" t="n">
        <f aca="true">IFERROR(DATEDIF(DATEVALUE(A122),TODAY(),"d"),"")</f>
        <v>8</v>
      </c>
      <c r="L122" s="2" t="str">
        <f aca="false">IF(OR(E122="",H122="",H122="anotado sin numero"),"Sin info, no aplica",IF(I122="no","Cerrado, no volver a tocar",IF(I122="vendido","Cliente, no prospectar",IF(I122="respondio","Atender la conversacion hoy",IF(I122="enviado",IF(K122&gt;=1,"Mandar seguimiento (24-48h)","Esperar respuesta"),"Enviar primer mensaje")))))</f>
        <v>Enviar primer mensaje</v>
      </c>
      <c r="M122" s="4" t="str">
        <f aca="true">IF(OR(L122="Sin info, no aplica",L122="Cerrado, no volver a tocar",L122="Cliente, no prospectar"),"",IF(I122="enviado",DATEVALUE(A122)+2,IF(I122="respondio",TODAY(),"")))</f>
        <v/>
      </c>
    </row>
    <row r="123" customFormat="false" ht="15" hidden="false" customHeight="false" outlineLevel="0" collapsed="false">
      <c r="A123" s="2" t="s">
        <v>399</v>
      </c>
      <c r="B123" s="2" t="s">
        <v>437</v>
      </c>
      <c r="C123" s="2" t="s">
        <v>438</v>
      </c>
      <c r="D123" s="2" t="s">
        <v>186</v>
      </c>
      <c r="E123" s="3" t="n">
        <v>12</v>
      </c>
      <c r="F123" s="3" t="n">
        <v>4.7</v>
      </c>
      <c r="G123" s="2" t="s">
        <v>49</v>
      </c>
      <c r="H123" s="2" t="s">
        <v>439</v>
      </c>
      <c r="I123" s="2" t="s">
        <v>19</v>
      </c>
      <c r="J123" s="2" t="s">
        <v>357</v>
      </c>
      <c r="K123" s="3" t="n">
        <f aca="true">IFERROR(DATEDIF(DATEVALUE(A123),TODAY(),"d"),"")</f>
        <v>8</v>
      </c>
      <c r="L123" s="2" t="str">
        <f aca="false">IF(OR(E123="",H123="",H123="anotado sin numero"),"Sin info, no aplica",IF(I123="no","Cerrado, no volver a tocar",IF(I123="vendido","Cliente, no prospectar",IF(I123="respondio","Atender la conversacion hoy",IF(I123="enviado",IF(K123&gt;=1,"Mandar seguimiento (24-48h)","Esperar respuesta"),"Enviar primer mensaje")))))</f>
        <v>Enviar primer mensaje</v>
      </c>
      <c r="M123" s="4" t="str">
        <f aca="true">IF(OR(L123="Sin info, no aplica",L123="Cerrado, no volver a tocar",L123="Cliente, no prospectar"),"",IF(I123="enviado",DATEVALUE(A123)+2,IF(I123="respondio",TODAY(),"")))</f>
        <v/>
      </c>
    </row>
    <row r="124" customFormat="false" ht="15" hidden="false" customHeight="false" outlineLevel="0" collapsed="false">
      <c r="A124" s="2" t="s">
        <v>399</v>
      </c>
      <c r="B124" s="2" t="s">
        <v>440</v>
      </c>
      <c r="C124" s="2" t="s">
        <v>343</v>
      </c>
      <c r="D124" s="2" t="s">
        <v>441</v>
      </c>
      <c r="E124" s="3" t="n">
        <v>25</v>
      </c>
      <c r="F124" s="3" t="n">
        <v>4.5</v>
      </c>
      <c r="G124" s="2" t="s">
        <v>49</v>
      </c>
      <c r="H124" s="2" t="s">
        <v>442</v>
      </c>
      <c r="I124" s="2" t="s">
        <v>19</v>
      </c>
      <c r="J124" s="2" t="s">
        <v>357</v>
      </c>
      <c r="K124" s="3" t="n">
        <f aca="true">IFERROR(DATEDIF(DATEVALUE(A124),TODAY(),"d"),"")</f>
        <v>8</v>
      </c>
      <c r="L124" s="2" t="str">
        <f aca="false">IF(OR(E124="",H124="",H124="anotado sin numero"),"Sin info, no aplica",IF(I124="no","Cerrado, no volver a tocar",IF(I124="vendido","Cliente, no prospectar",IF(I124="respondio","Atender la conversacion hoy",IF(I124="enviado",IF(K124&gt;=1,"Mandar seguimiento (24-48h)","Esperar respuesta"),"Enviar primer mensaje")))))</f>
        <v>Enviar primer mensaje</v>
      </c>
      <c r="M124" s="4" t="str">
        <f aca="true">IF(OR(L124="Sin info, no aplica",L124="Cerrado, no volver a tocar",L124="Cliente, no prospectar"),"",IF(I124="enviado",DATEVALUE(A124)+2,IF(I124="respondio",TODAY(),"")))</f>
        <v/>
      </c>
    </row>
    <row r="125" customFormat="false" ht="15" hidden="false" customHeight="false" outlineLevel="0" collapsed="false">
      <c r="A125" s="2" t="s">
        <v>399</v>
      </c>
      <c r="B125" s="2" t="s">
        <v>443</v>
      </c>
      <c r="C125" s="2" t="s">
        <v>444</v>
      </c>
      <c r="D125" s="2" t="s">
        <v>445</v>
      </c>
      <c r="E125" s="3" t="n">
        <v>14</v>
      </c>
      <c r="F125" s="3" t="n">
        <v>4.6</v>
      </c>
      <c r="G125" s="2" t="s">
        <v>49</v>
      </c>
      <c r="H125" s="2" t="s">
        <v>446</v>
      </c>
      <c r="I125" s="2" t="s">
        <v>19</v>
      </c>
      <c r="J125" s="2" t="s">
        <v>357</v>
      </c>
      <c r="K125" s="3" t="n">
        <f aca="true">IFERROR(DATEDIF(DATEVALUE(A125),TODAY(),"d"),"")</f>
        <v>8</v>
      </c>
      <c r="L125" s="2" t="str">
        <f aca="false">IF(OR(E125="",H125="",H125="anotado sin numero"),"Sin info, no aplica",IF(I125="no","Cerrado, no volver a tocar",IF(I125="vendido","Cliente, no prospectar",IF(I125="respondio","Atender la conversacion hoy",IF(I125="enviado",IF(K125&gt;=1,"Mandar seguimiento (24-48h)","Esperar respuesta"),"Enviar primer mensaje")))))</f>
        <v>Enviar primer mensaje</v>
      </c>
      <c r="M125" s="4" t="str">
        <f aca="true">IF(OR(L125="Sin info, no aplica",L125="Cerrado, no volver a tocar",L125="Cliente, no prospectar"),"",IF(I125="enviado",DATEVALUE(A125)+2,IF(I125="respondio",TODAY(),"")))</f>
        <v/>
      </c>
    </row>
    <row r="126" customFormat="false" ht="15" hidden="false" customHeight="false" outlineLevel="0" collapsed="false">
      <c r="A126" s="2" t="s">
        <v>399</v>
      </c>
      <c r="B126" s="2" t="s">
        <v>447</v>
      </c>
      <c r="C126" s="2" t="s">
        <v>448</v>
      </c>
      <c r="D126" s="2" t="s">
        <v>449</v>
      </c>
      <c r="E126" s="3" t="n">
        <v>1</v>
      </c>
      <c r="F126" s="3" t="n">
        <v>5</v>
      </c>
      <c r="G126" s="2" t="s">
        <v>17</v>
      </c>
      <c r="H126" s="2" t="s">
        <v>450</v>
      </c>
      <c r="I126" s="2" t="s">
        <v>19</v>
      </c>
      <c r="J126" s="2" t="s">
        <v>451</v>
      </c>
      <c r="K126" s="3" t="n">
        <f aca="true">IFERROR(DATEDIF(DATEVALUE(A126),TODAY(),"d"),"")</f>
        <v>8</v>
      </c>
      <c r="L126" s="2" t="str">
        <f aca="false">IF(OR(E126="",H126="",H126="anotado sin numero"),"Sin info, no aplica",IF(I126="no","Cerrado, no volver a tocar",IF(I126="vendido","Cliente, no prospectar",IF(I126="respondio","Atender la conversacion hoy",IF(I126="enviado",IF(K126&gt;=1,"Mandar seguimiento (24-48h)","Esperar respuesta"),"Enviar primer mensaje")))))</f>
        <v>Enviar primer mensaje</v>
      </c>
      <c r="M126" s="4" t="str">
        <f aca="true">IF(OR(L126="Sin info, no aplica",L126="Cerrado, no volver a tocar",L126="Cliente, no prospectar"),"",IF(I126="enviado",DATEVALUE(A126)+2,IF(I126="respondio",TODAY(),"")))</f>
        <v/>
      </c>
    </row>
    <row r="127" customFormat="false" ht="15" hidden="false" customHeight="false" outlineLevel="0" collapsed="false">
      <c r="A127" s="2" t="s">
        <v>399</v>
      </c>
      <c r="B127" s="2" t="s">
        <v>452</v>
      </c>
      <c r="C127" s="2" t="s">
        <v>453</v>
      </c>
      <c r="D127" s="2" t="s">
        <v>186</v>
      </c>
      <c r="E127" s="3" t="n">
        <v>10</v>
      </c>
      <c r="F127" s="3" t="n">
        <v>4.7</v>
      </c>
      <c r="G127" s="2" t="s">
        <v>17</v>
      </c>
      <c r="H127" s="2" t="s">
        <v>454</v>
      </c>
      <c r="I127" s="2" t="s">
        <v>19</v>
      </c>
      <c r="J127" s="2" t="s">
        <v>455</v>
      </c>
      <c r="K127" s="3" t="n">
        <f aca="true">IFERROR(DATEDIF(DATEVALUE(A127),TODAY(),"d"),"")</f>
        <v>8</v>
      </c>
      <c r="L127" s="2" t="str">
        <f aca="false">IF(OR(E127="",H127="",H127="anotado sin numero"),"Sin info, no aplica",IF(I127="no","Cerrado, no volver a tocar",IF(I127="vendido","Cliente, no prospectar",IF(I127="respondio","Atender la conversacion hoy",IF(I127="enviado",IF(K127&gt;=1,"Mandar seguimiento (24-48h)","Esperar respuesta"),"Enviar primer mensaje")))))</f>
        <v>Enviar primer mensaje</v>
      </c>
      <c r="M127" s="4" t="str">
        <f aca="true">IF(OR(L127="Sin info, no aplica",L127="Cerrado, no volver a tocar",L127="Cliente, no prospectar"),"",IF(I127="enviado",DATEVALUE(A127)+2,IF(I127="respondio",TODAY(),"")))</f>
        <v/>
      </c>
    </row>
    <row r="128" customFormat="false" ht="15" hidden="false" customHeight="false" outlineLevel="0" collapsed="false">
      <c r="A128" s="2" t="s">
        <v>399</v>
      </c>
      <c r="B128" s="2" t="s">
        <v>456</v>
      </c>
      <c r="C128" s="2" t="s">
        <v>98</v>
      </c>
      <c r="D128" s="2" t="s">
        <v>186</v>
      </c>
      <c r="E128" s="3" t="n">
        <v>11</v>
      </c>
      <c r="F128" s="3" t="n">
        <v>5</v>
      </c>
      <c r="G128" s="2" t="s">
        <v>17</v>
      </c>
      <c r="H128" s="2" t="s">
        <v>457</v>
      </c>
      <c r="I128" s="2" t="s">
        <v>19</v>
      </c>
      <c r="J128" s="2" t="s">
        <v>458</v>
      </c>
      <c r="K128" s="3" t="n">
        <f aca="true">IFERROR(DATEDIF(DATEVALUE(A128),TODAY(),"d"),"")</f>
        <v>8</v>
      </c>
      <c r="L128" s="2" t="str">
        <f aca="false">IF(OR(E128="",H128="",H128="anotado sin numero"),"Sin info, no aplica",IF(I128="no","Cerrado, no volver a tocar",IF(I128="vendido","Cliente, no prospectar",IF(I128="respondio","Atender la conversacion hoy",IF(I128="enviado",IF(K128&gt;=1,"Mandar seguimiento (24-48h)","Esperar respuesta"),"Enviar primer mensaje")))))</f>
        <v>Enviar primer mensaje</v>
      </c>
      <c r="M128" s="4" t="str">
        <f aca="true">IF(OR(L128="Sin info, no aplica",L128="Cerrado, no volver a tocar",L128="Cliente, no prospectar"),"",IF(I128="enviado",DATEVALUE(A128)+2,IF(I128="respondio",TODAY(),"")))</f>
        <v/>
      </c>
    </row>
    <row r="129" customFormat="false" ht="15" hidden="false" customHeight="false" outlineLevel="0" collapsed="false">
      <c r="A129" s="2" t="s">
        <v>399</v>
      </c>
      <c r="B129" s="2" t="s">
        <v>459</v>
      </c>
      <c r="C129" s="2" t="s">
        <v>448</v>
      </c>
      <c r="D129" s="2" t="s">
        <v>202</v>
      </c>
      <c r="E129" s="3" t="n">
        <v>6</v>
      </c>
      <c r="F129" s="3" t="n">
        <v>5</v>
      </c>
      <c r="G129" s="2" t="s">
        <v>17</v>
      </c>
      <c r="H129" s="2" t="s">
        <v>460</v>
      </c>
      <c r="I129" s="2" t="s">
        <v>19</v>
      </c>
      <c r="J129" s="2" t="s">
        <v>451</v>
      </c>
      <c r="K129" s="3" t="n">
        <f aca="true">IFERROR(DATEDIF(DATEVALUE(A129),TODAY(),"d"),"")</f>
        <v>8</v>
      </c>
      <c r="L129" s="2" t="str">
        <f aca="false">IF(OR(E129="",H129="",H129="anotado sin numero"),"Sin info, no aplica",IF(I129="no","Cerrado, no volver a tocar",IF(I129="vendido","Cliente, no prospectar",IF(I129="respondio","Atender la conversacion hoy",IF(I129="enviado",IF(K129&gt;=1,"Mandar seguimiento (24-48h)","Esperar respuesta"),"Enviar primer mensaje")))))</f>
        <v>Enviar primer mensaje</v>
      </c>
      <c r="M129" s="4" t="str">
        <f aca="true">IF(OR(L129="Sin info, no aplica",L129="Cerrado, no volver a tocar",L129="Cliente, no prospectar"),"",IF(I129="enviado",DATEVALUE(A129)+2,IF(I129="respondio",TODAY(),"")))</f>
        <v/>
      </c>
    </row>
    <row r="130" customFormat="false" ht="15" hidden="false" customHeight="false" outlineLevel="0" collapsed="false">
      <c r="A130" s="2" t="s">
        <v>399</v>
      </c>
      <c r="B130" s="2" t="s">
        <v>461</v>
      </c>
      <c r="C130" s="2" t="s">
        <v>448</v>
      </c>
      <c r="D130" s="2" t="s">
        <v>462</v>
      </c>
      <c r="E130" s="3" t="n">
        <v>2</v>
      </c>
      <c r="F130" s="3" t="n">
        <v>5</v>
      </c>
      <c r="G130" s="2" t="s">
        <v>17</v>
      </c>
      <c r="H130" s="2" t="s">
        <v>463</v>
      </c>
      <c r="I130" s="2" t="s">
        <v>19</v>
      </c>
      <c r="J130" s="2" t="s">
        <v>451</v>
      </c>
      <c r="K130" s="3" t="n">
        <f aca="true">IFERROR(DATEDIF(DATEVALUE(A130),TODAY(),"d"),"")</f>
        <v>8</v>
      </c>
      <c r="L130" s="2" t="str">
        <f aca="false">IF(OR(E130="",H130="",H130="anotado sin numero"),"Sin info, no aplica",IF(I130="no","Cerrado, no volver a tocar",IF(I130="vendido","Cliente, no prospectar",IF(I130="respondio","Atender la conversacion hoy",IF(I130="enviado",IF(K130&gt;=1,"Mandar seguimiento (24-48h)","Esperar respuesta"),"Enviar primer mensaje")))))</f>
        <v>Enviar primer mensaje</v>
      </c>
      <c r="M130" s="4" t="str">
        <f aca="true">IF(OR(L130="Sin info, no aplica",L130="Cerrado, no volver a tocar",L130="Cliente, no prospectar"),"",IF(I130="enviado",DATEVALUE(A130)+2,IF(I130="respondio",TODAY(),"")))</f>
        <v/>
      </c>
    </row>
    <row r="131" customFormat="false" ht="15" hidden="false" customHeight="false" outlineLevel="0" collapsed="false">
      <c r="A131" s="2" t="s">
        <v>399</v>
      </c>
      <c r="B131" s="2" t="s">
        <v>464</v>
      </c>
      <c r="C131" s="2" t="s">
        <v>448</v>
      </c>
      <c r="D131" s="2" t="s">
        <v>186</v>
      </c>
      <c r="E131" s="3" t="n">
        <v>23</v>
      </c>
      <c r="F131" s="3" t="n">
        <v>4.4</v>
      </c>
      <c r="G131" s="2" t="s">
        <v>17</v>
      </c>
      <c r="H131" s="2" t="s">
        <v>465</v>
      </c>
      <c r="I131" s="2" t="s">
        <v>19</v>
      </c>
      <c r="J131" s="2" t="s">
        <v>451</v>
      </c>
      <c r="K131" s="3" t="n">
        <f aca="true">IFERROR(DATEDIF(DATEVALUE(A131),TODAY(),"d"),"")</f>
        <v>8</v>
      </c>
      <c r="L131" s="2" t="str">
        <f aca="false">IF(OR(E131="",H131="",H131="anotado sin numero"),"Sin info, no aplica",IF(I131="no","Cerrado, no volver a tocar",IF(I131="vendido","Cliente, no prospectar",IF(I131="respondio","Atender la conversacion hoy",IF(I131="enviado",IF(K131&gt;=1,"Mandar seguimiento (24-48h)","Esperar respuesta"),"Enviar primer mensaje")))))</f>
        <v>Enviar primer mensaje</v>
      </c>
      <c r="M131" s="4" t="str">
        <f aca="true">IF(OR(L131="Sin info, no aplica",L131="Cerrado, no volver a tocar",L131="Cliente, no prospectar"),"",IF(I131="enviado",DATEVALUE(A131)+2,IF(I131="respondio",TODAY(),"")))</f>
        <v/>
      </c>
    </row>
    <row r="132" customFormat="false" ht="15" hidden="false" customHeight="false" outlineLevel="0" collapsed="false">
      <c r="A132" s="2" t="s">
        <v>399</v>
      </c>
      <c r="B132" s="2" t="s">
        <v>466</v>
      </c>
      <c r="C132" s="2" t="s">
        <v>448</v>
      </c>
      <c r="D132" s="2" t="s">
        <v>408</v>
      </c>
      <c r="E132" s="3" t="n">
        <v>10</v>
      </c>
      <c r="F132" s="3" t="n">
        <v>5</v>
      </c>
      <c r="G132" s="2" t="s">
        <v>17</v>
      </c>
      <c r="H132" s="2" t="s">
        <v>467</v>
      </c>
      <c r="I132" s="2" t="s">
        <v>19</v>
      </c>
      <c r="J132" s="2" t="s">
        <v>468</v>
      </c>
      <c r="K132" s="3" t="n">
        <f aca="true">IFERROR(DATEDIF(DATEVALUE(A132),TODAY(),"d"),"")</f>
        <v>8</v>
      </c>
      <c r="L132" s="2" t="str">
        <f aca="false">IF(OR(E132="",H132="",H132="anotado sin numero"),"Sin info, no aplica",IF(I132="no","Cerrado, no volver a tocar",IF(I132="vendido","Cliente, no prospectar",IF(I132="respondio","Atender la conversacion hoy",IF(I132="enviado",IF(K132&gt;=1,"Mandar seguimiento (24-48h)","Esperar respuesta"),"Enviar primer mensaje")))))</f>
        <v>Enviar primer mensaje</v>
      </c>
      <c r="M132" s="4" t="str">
        <f aca="true">IF(OR(L132="Sin info, no aplica",L132="Cerrado, no volver a tocar",L132="Cliente, no prospectar"),"",IF(I132="enviado",DATEVALUE(A132)+2,IF(I132="respondio",TODAY(),"")))</f>
        <v/>
      </c>
    </row>
    <row r="133" customFormat="false" ht="15" hidden="false" customHeight="false" outlineLevel="0" collapsed="false">
      <c r="A133" s="2" t="s">
        <v>399</v>
      </c>
      <c r="B133" s="2" t="s">
        <v>469</v>
      </c>
      <c r="C133" s="2" t="s">
        <v>448</v>
      </c>
      <c r="D133" s="2" t="s">
        <v>470</v>
      </c>
      <c r="E133" s="3" t="n">
        <v>33</v>
      </c>
      <c r="F133" s="3" t="n">
        <v>5</v>
      </c>
      <c r="G133" s="2" t="s">
        <v>17</v>
      </c>
      <c r="H133" s="2" t="s">
        <v>471</v>
      </c>
      <c r="I133" s="2" t="s">
        <v>19</v>
      </c>
      <c r="J133" s="2" t="s">
        <v>451</v>
      </c>
      <c r="K133" s="3" t="n">
        <f aca="true">IFERROR(DATEDIF(DATEVALUE(A133),TODAY(),"d"),"")</f>
        <v>8</v>
      </c>
      <c r="L133" s="2" t="str">
        <f aca="false">IF(OR(E133="",H133="",H133="anotado sin numero"),"Sin info, no aplica",IF(I133="no","Cerrado, no volver a tocar",IF(I133="vendido","Cliente, no prospectar",IF(I133="respondio","Atender la conversacion hoy",IF(I133="enviado",IF(K133&gt;=1,"Mandar seguimiento (24-48h)","Esperar respuesta"),"Enviar primer mensaje")))))</f>
        <v>Enviar primer mensaje</v>
      </c>
      <c r="M133" s="4" t="str">
        <f aca="true">IF(OR(L133="Sin info, no aplica",L133="Cerrado, no volver a tocar",L133="Cliente, no prospectar"),"",IF(I133="enviado",DATEVALUE(A133)+2,IF(I133="respondio",TODAY(),"")))</f>
        <v/>
      </c>
    </row>
    <row r="134" customFormat="false" ht="15" hidden="false" customHeight="false" outlineLevel="0" collapsed="false">
      <c r="A134" s="2" t="s">
        <v>399</v>
      </c>
      <c r="B134" s="2" t="s">
        <v>472</v>
      </c>
      <c r="C134" s="2" t="s">
        <v>453</v>
      </c>
      <c r="D134" s="2" t="s">
        <v>202</v>
      </c>
      <c r="E134" s="3" t="n">
        <v>31</v>
      </c>
      <c r="F134" s="3" t="n">
        <v>4.6</v>
      </c>
      <c r="G134" s="2" t="s">
        <v>17</v>
      </c>
      <c r="H134" s="2" t="s">
        <v>473</v>
      </c>
      <c r="I134" s="2" t="s">
        <v>19</v>
      </c>
      <c r="J134" s="2" t="s">
        <v>474</v>
      </c>
      <c r="K134" s="3" t="n">
        <f aca="true">IFERROR(DATEDIF(DATEVALUE(A134),TODAY(),"d"),"")</f>
        <v>8</v>
      </c>
      <c r="L134" s="2" t="str">
        <f aca="false">IF(OR(E134="",H134="",H134="anotado sin numero"),"Sin info, no aplica",IF(I134="no","Cerrado, no volver a tocar",IF(I134="vendido","Cliente, no prospectar",IF(I134="respondio","Atender la conversacion hoy",IF(I134="enviado",IF(K134&gt;=1,"Mandar seguimiento (24-48h)","Esperar respuesta"),"Enviar primer mensaje")))))</f>
        <v>Enviar primer mensaje</v>
      </c>
      <c r="M134" s="4" t="str">
        <f aca="true">IF(OR(L134="Sin info, no aplica",L134="Cerrado, no volver a tocar",L134="Cliente, no prospectar"),"",IF(I134="enviado",DATEVALUE(A134)+2,IF(I134="respondio",TODAY(),"")))</f>
        <v/>
      </c>
    </row>
    <row r="135" customFormat="false" ht="15" hidden="false" customHeight="false" outlineLevel="0" collapsed="false">
      <c r="A135" s="2" t="s">
        <v>399</v>
      </c>
      <c r="B135" s="2" t="s">
        <v>475</v>
      </c>
      <c r="C135" s="2" t="s">
        <v>98</v>
      </c>
      <c r="D135" s="2" t="s">
        <v>186</v>
      </c>
      <c r="E135" s="3" t="n">
        <v>40</v>
      </c>
      <c r="F135" s="3" t="n">
        <v>4.7</v>
      </c>
      <c r="G135" s="2" t="s">
        <v>17</v>
      </c>
      <c r="H135" s="2" t="s">
        <v>476</v>
      </c>
      <c r="I135" s="2" t="s">
        <v>19</v>
      </c>
      <c r="J135" s="2" t="s">
        <v>477</v>
      </c>
      <c r="K135" s="3" t="n">
        <f aca="true">IFERROR(DATEDIF(DATEVALUE(A135),TODAY(),"d"),"")</f>
        <v>8</v>
      </c>
      <c r="L135" s="2" t="str">
        <f aca="false">IF(OR(E135="",H135="",H135="anotado sin numero"),"Sin info, no aplica",IF(I135="no","Cerrado, no volver a tocar",IF(I135="vendido","Cliente, no prospectar",IF(I135="respondio","Atender la conversacion hoy",IF(I135="enviado",IF(K135&gt;=1,"Mandar seguimiento (24-48h)","Esperar respuesta"),"Enviar primer mensaje")))))</f>
        <v>Enviar primer mensaje</v>
      </c>
      <c r="M135" s="4" t="str">
        <f aca="true">IF(OR(L135="Sin info, no aplica",L135="Cerrado, no volver a tocar",L135="Cliente, no prospectar"),"",IF(I135="enviado",DATEVALUE(A135)+2,IF(I135="respondio",TODAY(),"")))</f>
        <v/>
      </c>
    </row>
    <row r="136" customFormat="false" ht="15" hidden="false" customHeight="false" outlineLevel="0" collapsed="false">
      <c r="A136" s="2" t="s">
        <v>399</v>
      </c>
      <c r="B136" s="2" t="s">
        <v>478</v>
      </c>
      <c r="C136" s="2" t="s">
        <v>448</v>
      </c>
      <c r="D136" s="2" t="s">
        <v>408</v>
      </c>
      <c r="E136" s="3" t="n">
        <v>40</v>
      </c>
      <c r="F136" s="3" t="n">
        <v>4.8</v>
      </c>
      <c r="G136" s="2" t="s">
        <v>17</v>
      </c>
      <c r="H136" s="2" t="s">
        <v>479</v>
      </c>
      <c r="I136" s="2" t="s">
        <v>19</v>
      </c>
      <c r="J136" s="2" t="s">
        <v>480</v>
      </c>
      <c r="K136" s="3" t="n">
        <f aca="true">IFERROR(DATEDIF(DATEVALUE(A136),TODAY(),"d"),"")</f>
        <v>8</v>
      </c>
      <c r="L136" s="2" t="str">
        <f aca="false">IF(OR(E136="",H136="",H136="anotado sin numero"),"Sin info, no aplica",IF(I136="no","Cerrado, no volver a tocar",IF(I136="vendido","Cliente, no prospectar",IF(I136="respondio","Atender la conversacion hoy",IF(I136="enviado",IF(K136&gt;=1,"Mandar seguimiento (24-48h)","Esperar respuesta"),"Enviar primer mensaje")))))</f>
        <v>Enviar primer mensaje</v>
      </c>
      <c r="M136" s="4" t="str">
        <f aca="true">IF(OR(L136="Sin info, no aplica",L136="Cerrado, no volver a tocar",L136="Cliente, no prospectar"),"",IF(I136="enviado",DATEVALUE(A136)+2,IF(I136="respondio",TODAY(),"")))</f>
        <v/>
      </c>
    </row>
    <row r="137" customFormat="false" ht="15" hidden="false" customHeight="false" outlineLevel="0" collapsed="false">
      <c r="A137" s="2" t="s">
        <v>399</v>
      </c>
      <c r="B137" s="2" t="s">
        <v>481</v>
      </c>
      <c r="C137" s="2" t="s">
        <v>98</v>
      </c>
      <c r="D137" s="2" t="s">
        <v>202</v>
      </c>
      <c r="E137" s="3" t="n">
        <v>8</v>
      </c>
      <c r="F137" s="3" t="n">
        <v>4.9</v>
      </c>
      <c r="G137" s="2" t="s">
        <v>49</v>
      </c>
      <c r="H137" s="2" t="s">
        <v>482</v>
      </c>
      <c r="I137" s="2" t="s">
        <v>19</v>
      </c>
      <c r="J137" s="2" t="s">
        <v>483</v>
      </c>
      <c r="K137" s="3" t="n">
        <f aca="true">IFERROR(DATEDIF(DATEVALUE(A137),TODAY(),"d"),"")</f>
        <v>8</v>
      </c>
      <c r="L137" s="2" t="str">
        <f aca="false">IF(OR(E137="",H137="",H137="anotado sin numero"),"Sin info, no aplica",IF(I137="no","Cerrado, no volver a tocar",IF(I137="vendido","Cliente, no prospectar",IF(I137="respondio","Atender la conversacion hoy",IF(I137="enviado",IF(K137&gt;=1,"Mandar seguimiento (24-48h)","Esperar respuesta"),"Enviar primer mensaje")))))</f>
        <v>Enviar primer mensaje</v>
      </c>
      <c r="M137" s="4" t="str">
        <f aca="true">IF(OR(L137="Sin info, no aplica",L137="Cerrado, no volver a tocar",L137="Cliente, no prospectar"),"",IF(I137="enviado",DATEVALUE(A137)+2,IF(I137="respondio",TODAY(),"")))</f>
        <v/>
      </c>
    </row>
    <row r="138" customFormat="false" ht="15" hidden="false" customHeight="false" outlineLevel="0" collapsed="false">
      <c r="A138" s="2" t="s">
        <v>399</v>
      </c>
      <c r="B138" s="2" t="s">
        <v>484</v>
      </c>
      <c r="C138" s="2" t="s">
        <v>98</v>
      </c>
      <c r="D138" s="2" t="s">
        <v>485</v>
      </c>
      <c r="E138" s="3" t="n">
        <v>7</v>
      </c>
      <c r="F138" s="3" t="n">
        <v>4.6</v>
      </c>
      <c r="G138" s="2" t="s">
        <v>49</v>
      </c>
      <c r="H138" s="2" t="s">
        <v>486</v>
      </c>
      <c r="I138" s="2" t="s">
        <v>19</v>
      </c>
      <c r="J138" s="2" t="s">
        <v>487</v>
      </c>
      <c r="K138" s="3" t="n">
        <f aca="true">IFERROR(DATEDIF(DATEVALUE(A138),TODAY(),"d"),"")</f>
        <v>8</v>
      </c>
      <c r="L138" s="2" t="str">
        <f aca="false">IF(OR(E138="",H138="",H138="anotado sin numero"),"Sin info, no aplica",IF(I138="no","Cerrado, no volver a tocar",IF(I138="vendido","Cliente, no prospectar",IF(I138="respondio","Atender la conversacion hoy",IF(I138="enviado",IF(K138&gt;=1,"Mandar seguimiento (24-48h)","Esperar respuesta"),"Enviar primer mensaje")))))</f>
        <v>Enviar primer mensaje</v>
      </c>
      <c r="M138" s="4" t="str">
        <f aca="true">IF(OR(L138="Sin info, no aplica",L138="Cerrado, no volver a tocar",L138="Cliente, no prospectar"),"",IF(I138="enviado",DATEVALUE(A138)+2,IF(I138="respondio",TODAY(),"")))</f>
        <v/>
      </c>
    </row>
    <row r="139" customFormat="false" ht="15" hidden="false" customHeight="false" outlineLevel="0" collapsed="false">
      <c r="A139" s="2" t="s">
        <v>399</v>
      </c>
      <c r="B139" s="2" t="s">
        <v>488</v>
      </c>
      <c r="C139" s="2" t="s">
        <v>489</v>
      </c>
      <c r="D139" s="2" t="s">
        <v>16</v>
      </c>
      <c r="E139" s="3" t="n">
        <v>13</v>
      </c>
      <c r="F139" s="3" t="n">
        <v>4.6</v>
      </c>
      <c r="G139" s="2" t="s">
        <v>17</v>
      </c>
      <c r="H139" s="2" t="s">
        <v>490</v>
      </c>
      <c r="I139" s="2" t="s">
        <v>19</v>
      </c>
      <c r="J139" s="2" t="s">
        <v>491</v>
      </c>
      <c r="K139" s="3" t="n">
        <f aca="true">IFERROR(DATEDIF(DATEVALUE(A139),TODAY(),"d"),"")</f>
        <v>8</v>
      </c>
      <c r="L139" s="2" t="str">
        <f aca="false">IF(OR(E139="",H139="",H139="anotado sin numero"),"Sin info, no aplica",IF(I139="no","Cerrado, no volver a tocar",IF(I139="vendido","Cliente, no prospectar",IF(I139="respondio","Atender la conversacion hoy",IF(I139="enviado",IF(K139&gt;=1,"Mandar seguimiento (24-48h)","Esperar respuesta"),"Enviar primer mensaje")))))</f>
        <v>Enviar primer mensaje</v>
      </c>
      <c r="M139" s="4" t="str">
        <f aca="true">IF(OR(L139="Sin info, no aplica",L139="Cerrado, no volver a tocar",L139="Cliente, no prospectar"),"",IF(I139="enviado",DATEVALUE(A139)+2,IF(I139="respondio",TODAY(),"")))</f>
        <v/>
      </c>
    </row>
    <row r="140" customFormat="false" ht="15" hidden="false" customHeight="false" outlineLevel="0" collapsed="false">
      <c r="A140" s="2" t="s">
        <v>399</v>
      </c>
      <c r="B140" s="2" t="s">
        <v>492</v>
      </c>
      <c r="C140" s="2" t="s">
        <v>489</v>
      </c>
      <c r="D140" s="2" t="s">
        <v>16</v>
      </c>
      <c r="E140" s="3" t="n">
        <v>2</v>
      </c>
      <c r="F140" s="3" t="n">
        <v>4.5</v>
      </c>
      <c r="G140" s="2" t="s">
        <v>17</v>
      </c>
      <c r="H140" s="2" t="s">
        <v>493</v>
      </c>
      <c r="I140" s="2" t="s">
        <v>19</v>
      </c>
      <c r="J140" s="2" t="s">
        <v>494</v>
      </c>
      <c r="K140" s="3" t="n">
        <f aca="true">IFERROR(DATEDIF(DATEVALUE(A140),TODAY(),"d"),"")</f>
        <v>8</v>
      </c>
      <c r="L140" s="2" t="str">
        <f aca="false">IF(OR(E140="",H140="",H140="anotado sin numero"),"Sin info, no aplica",IF(I140="no","Cerrado, no volver a tocar",IF(I140="vendido","Cliente, no prospectar",IF(I140="respondio","Atender la conversacion hoy",IF(I140="enviado",IF(K140&gt;=1,"Mandar seguimiento (24-48h)","Esperar respuesta"),"Enviar primer mensaje")))))</f>
        <v>Enviar primer mensaje</v>
      </c>
      <c r="M140" s="4" t="str">
        <f aca="true">IF(OR(L140="Sin info, no aplica",L140="Cerrado, no volver a tocar",L140="Cliente, no prospectar"),"",IF(I140="enviado",DATEVALUE(A140)+2,IF(I140="respondio",TODAY(),"")))</f>
        <v/>
      </c>
    </row>
    <row r="141" customFormat="false" ht="15" hidden="false" customHeight="false" outlineLevel="0" collapsed="false">
      <c r="A141" s="2" t="s">
        <v>399</v>
      </c>
      <c r="B141" s="2" t="s">
        <v>495</v>
      </c>
      <c r="C141" s="2" t="s">
        <v>489</v>
      </c>
      <c r="D141" s="2" t="s">
        <v>16</v>
      </c>
      <c r="E141" s="3" t="n">
        <v>19</v>
      </c>
      <c r="F141" s="3" t="n">
        <v>4.6</v>
      </c>
      <c r="G141" s="2" t="s">
        <v>17</v>
      </c>
      <c r="H141" s="2" t="s">
        <v>496</v>
      </c>
      <c r="I141" s="2" t="s">
        <v>19</v>
      </c>
      <c r="J141" s="2" t="s">
        <v>497</v>
      </c>
      <c r="K141" s="3" t="n">
        <f aca="true">IFERROR(DATEDIF(DATEVALUE(A141),TODAY(),"d"),"")</f>
        <v>8</v>
      </c>
      <c r="L141" s="2" t="str">
        <f aca="false">IF(OR(E141="",H141="",H141="anotado sin numero"),"Sin info, no aplica",IF(I141="no","Cerrado, no volver a tocar",IF(I141="vendido","Cliente, no prospectar",IF(I141="respondio","Atender la conversacion hoy",IF(I141="enviado",IF(K141&gt;=1,"Mandar seguimiento (24-48h)","Esperar respuesta"),"Enviar primer mensaje")))))</f>
        <v>Enviar primer mensaje</v>
      </c>
      <c r="M141" s="4" t="str">
        <f aca="true">IF(OR(L141="Sin info, no aplica",L141="Cerrado, no volver a tocar",L141="Cliente, no prospectar"),"",IF(I141="enviado",DATEVALUE(A141)+2,IF(I141="respondio",TODAY(),"")))</f>
        <v/>
      </c>
    </row>
    <row r="142" customFormat="false" ht="15" hidden="false" customHeight="false" outlineLevel="0" collapsed="false">
      <c r="A142" s="2" t="s">
        <v>399</v>
      </c>
      <c r="B142" s="2" t="s">
        <v>498</v>
      </c>
      <c r="C142" s="2" t="s">
        <v>499</v>
      </c>
      <c r="D142" s="2" t="s">
        <v>500</v>
      </c>
      <c r="E142" s="3" t="n">
        <v>40</v>
      </c>
      <c r="F142" s="3" t="n">
        <v>4.6</v>
      </c>
      <c r="G142" s="2" t="s">
        <v>17</v>
      </c>
      <c r="H142" s="2" t="s">
        <v>501</v>
      </c>
      <c r="I142" s="2" t="s">
        <v>19</v>
      </c>
      <c r="J142" s="2" t="s">
        <v>502</v>
      </c>
      <c r="K142" s="3" t="n">
        <f aca="true">IFERROR(DATEDIF(DATEVALUE(A142),TODAY(),"d"),"")</f>
        <v>8</v>
      </c>
      <c r="L142" s="2" t="str">
        <f aca="false">IF(OR(E142="",H142="",H142="anotado sin numero"),"Sin info, no aplica",IF(I142="no","Cerrado, no volver a tocar",IF(I142="vendido","Cliente, no prospectar",IF(I142="respondio","Atender la conversacion hoy",IF(I142="enviado",IF(K142&gt;=1,"Mandar seguimiento (24-48h)","Esperar respuesta"),"Enviar primer mensaje")))))</f>
        <v>Enviar primer mensaje</v>
      </c>
      <c r="M142" s="4" t="str">
        <f aca="true">IF(OR(L142="Sin info, no aplica",L142="Cerrado, no volver a tocar",L142="Cliente, no prospectar"),"",IF(I142="enviado",DATEVALUE(A142)+2,IF(I142="respondio",TODAY(),"")))</f>
        <v/>
      </c>
    </row>
    <row r="143" customFormat="false" ht="15" hidden="false" customHeight="false" outlineLevel="0" collapsed="false">
      <c r="A143" s="2" t="s">
        <v>399</v>
      </c>
      <c r="B143" s="2" t="s">
        <v>503</v>
      </c>
      <c r="C143" s="2" t="s">
        <v>240</v>
      </c>
      <c r="D143" s="2" t="s">
        <v>504</v>
      </c>
      <c r="E143" s="3" t="n">
        <v>1</v>
      </c>
      <c r="F143" s="3" t="n">
        <v>5</v>
      </c>
      <c r="G143" s="2" t="s">
        <v>17</v>
      </c>
      <c r="H143" s="2" t="s">
        <v>505</v>
      </c>
      <c r="I143" s="2" t="s">
        <v>19</v>
      </c>
      <c r="J143" s="2" t="s">
        <v>506</v>
      </c>
      <c r="K143" s="3" t="n">
        <f aca="true">IFERROR(DATEDIF(DATEVALUE(A143),TODAY(),"d"),"")</f>
        <v>8</v>
      </c>
      <c r="L143" s="2" t="str">
        <f aca="false">IF(OR(E143="",H143="",H143="anotado sin numero"),"Sin info, no aplica",IF(I143="no","Cerrado, no volver a tocar",IF(I143="vendido","Cliente, no prospectar",IF(I143="respondio","Atender la conversacion hoy",IF(I143="enviado",IF(K143&gt;=1,"Mandar seguimiento (24-48h)","Esperar respuesta"),"Enviar primer mensaje")))))</f>
        <v>Enviar primer mensaje</v>
      </c>
      <c r="M143" s="4" t="str">
        <f aca="true">IF(OR(L143="Sin info, no aplica",L143="Cerrado, no volver a tocar",L143="Cliente, no prospectar"),"",IF(I143="enviado",DATEVALUE(A143)+2,IF(I143="respondio",TODAY(),"")))</f>
        <v/>
      </c>
    </row>
    <row r="144" customFormat="false" ht="15" hidden="false" customHeight="false" outlineLevel="0" collapsed="false">
      <c r="A144" s="2" t="s">
        <v>399</v>
      </c>
      <c r="B144" s="2" t="s">
        <v>507</v>
      </c>
      <c r="C144" s="2" t="s">
        <v>508</v>
      </c>
      <c r="D144" s="2" t="s">
        <v>509</v>
      </c>
      <c r="E144" s="3" t="n">
        <v>9</v>
      </c>
      <c r="F144" s="3" t="n">
        <v>5</v>
      </c>
      <c r="G144" s="2" t="s">
        <v>17</v>
      </c>
      <c r="H144" s="2" t="s">
        <v>510</v>
      </c>
      <c r="I144" s="2" t="s">
        <v>19</v>
      </c>
      <c r="J144" s="2" t="s">
        <v>511</v>
      </c>
      <c r="K144" s="3" t="n">
        <f aca="true">IFERROR(DATEDIF(DATEVALUE(A144),TODAY(),"d"),"")</f>
        <v>8</v>
      </c>
      <c r="L144" s="2" t="str">
        <f aca="false">IF(OR(E144="",H144="",H144="anotado sin numero"),"Sin info, no aplica",IF(I144="no","Cerrado, no volver a tocar",IF(I144="vendido","Cliente, no prospectar",IF(I144="respondio","Atender la conversacion hoy",IF(I144="enviado",IF(K144&gt;=1,"Mandar seguimiento (24-48h)","Esperar respuesta"),"Enviar primer mensaje")))))</f>
        <v>Enviar primer mensaje</v>
      </c>
      <c r="M144" s="4" t="str">
        <f aca="true">IF(OR(L144="Sin info, no aplica",L144="Cerrado, no volver a tocar",L144="Cliente, no prospectar"),"",IF(I144="enviado",DATEVALUE(A144)+2,IF(I144="respondio",TODAY(),"")))</f>
        <v/>
      </c>
    </row>
    <row r="145" customFormat="false" ht="15" hidden="false" customHeight="false" outlineLevel="0" collapsed="false">
      <c r="A145" s="2" t="s">
        <v>399</v>
      </c>
      <c r="B145" s="2" t="s">
        <v>512</v>
      </c>
      <c r="C145" s="2" t="s">
        <v>513</v>
      </c>
      <c r="D145" s="2" t="s">
        <v>514</v>
      </c>
      <c r="E145" s="3" t="n">
        <v>6</v>
      </c>
      <c r="F145" s="3" t="n">
        <v>4.7</v>
      </c>
      <c r="G145" s="2" t="s">
        <v>17</v>
      </c>
      <c r="H145" s="2" t="s">
        <v>515</v>
      </c>
      <c r="I145" s="2" t="s">
        <v>19</v>
      </c>
      <c r="J145" s="2" t="s">
        <v>516</v>
      </c>
      <c r="K145" s="3" t="n">
        <f aca="true">IFERROR(DATEDIF(DATEVALUE(A145),TODAY(),"d"),"")</f>
        <v>8</v>
      </c>
      <c r="L145" s="2" t="str">
        <f aca="false">IF(OR(E145="",H145="",H145="anotado sin numero"),"Sin info, no aplica",IF(I145="no","Cerrado, no volver a tocar",IF(I145="vendido","Cliente, no prospectar",IF(I145="respondio","Atender la conversacion hoy",IF(I145="enviado",IF(K145&gt;=1,"Mandar seguimiento (24-48h)","Esperar respuesta"),"Enviar primer mensaje")))))</f>
        <v>Enviar primer mensaje</v>
      </c>
      <c r="M145" s="4" t="str">
        <f aca="true">IF(OR(L145="Sin info, no aplica",L145="Cerrado, no volver a tocar",L145="Cliente, no prospectar"),"",IF(I145="enviado",DATEVALUE(A145)+2,IF(I145="respondio",TODAY(),"")))</f>
        <v/>
      </c>
    </row>
    <row r="146" customFormat="false" ht="15" hidden="false" customHeight="false" outlineLevel="0" collapsed="false">
      <c r="A146" s="2" t="s">
        <v>399</v>
      </c>
      <c r="B146" s="2" t="s">
        <v>517</v>
      </c>
      <c r="C146" s="2" t="s">
        <v>518</v>
      </c>
      <c r="D146" s="2" t="s">
        <v>218</v>
      </c>
      <c r="E146" s="3" t="n">
        <v>1</v>
      </c>
      <c r="F146" s="3" t="n">
        <v>5</v>
      </c>
      <c r="G146" s="2" t="s">
        <v>17</v>
      </c>
      <c r="H146" s="2" t="s">
        <v>519</v>
      </c>
      <c r="I146" s="2" t="s">
        <v>19</v>
      </c>
      <c r="J146" s="2" t="s">
        <v>520</v>
      </c>
      <c r="K146" s="3" t="n">
        <f aca="true">IFERROR(DATEDIF(DATEVALUE(A146),TODAY(),"d"),"")</f>
        <v>8</v>
      </c>
      <c r="L146" s="2" t="str">
        <f aca="false">IF(OR(E146="",H146="",H146="anotado sin numero"),"Sin info, no aplica",IF(I146="no","Cerrado, no volver a tocar",IF(I146="vendido","Cliente, no prospectar",IF(I146="respondio","Atender la conversacion hoy",IF(I146="enviado",IF(K146&gt;=1,"Mandar seguimiento (24-48h)","Esperar respuesta"),"Enviar primer mensaje")))))</f>
        <v>Enviar primer mensaje</v>
      </c>
      <c r="M146" s="4" t="str">
        <f aca="true">IF(OR(L146="Sin info, no aplica",L146="Cerrado, no volver a tocar",L146="Cliente, no prospectar"),"",IF(I146="enviado",DATEVALUE(A146)+2,IF(I146="respondio",TODAY(),"")))</f>
        <v/>
      </c>
    </row>
    <row r="147" customFormat="false" ht="15" hidden="false" customHeight="false" outlineLevel="0" collapsed="false">
      <c r="A147" s="2" t="s">
        <v>399</v>
      </c>
      <c r="B147" s="2" t="s">
        <v>521</v>
      </c>
      <c r="C147" s="2" t="s">
        <v>522</v>
      </c>
      <c r="D147" s="2" t="s">
        <v>16</v>
      </c>
      <c r="E147" s="3" t="n">
        <v>4</v>
      </c>
      <c r="F147" s="3" t="n">
        <v>5</v>
      </c>
      <c r="G147" s="2" t="s">
        <v>17</v>
      </c>
      <c r="H147" s="2" t="s">
        <v>523</v>
      </c>
      <c r="I147" s="2" t="s">
        <v>19</v>
      </c>
      <c r="J147" s="2" t="s">
        <v>524</v>
      </c>
      <c r="K147" s="3" t="n">
        <f aca="true">IFERROR(DATEDIF(DATEVALUE(A147),TODAY(),"d"),"")</f>
        <v>8</v>
      </c>
      <c r="L147" s="2" t="str">
        <f aca="false">IF(OR(E147="",H147="",H147="anotado sin numero"),"Sin info, no aplica",IF(I147="no","Cerrado, no volver a tocar",IF(I147="vendido","Cliente, no prospectar",IF(I147="respondio","Atender la conversacion hoy",IF(I147="enviado",IF(K147&gt;=1,"Mandar seguimiento (24-48h)","Esperar respuesta"),"Enviar primer mensaje")))))</f>
        <v>Enviar primer mensaje</v>
      </c>
      <c r="M147" s="4" t="str">
        <f aca="true">IF(OR(L147="Sin info, no aplica",L147="Cerrado, no volver a tocar",L147="Cliente, no prospectar"),"",IF(I147="enviado",DATEVALUE(A147)+2,IF(I147="respondio",TODAY(),"")))</f>
        <v/>
      </c>
    </row>
    <row r="148" customFormat="false" ht="15" hidden="false" customHeight="false" outlineLevel="0" collapsed="false">
      <c r="A148" s="2" t="s">
        <v>399</v>
      </c>
      <c r="B148" s="2" t="s">
        <v>525</v>
      </c>
      <c r="C148" s="2" t="s">
        <v>262</v>
      </c>
      <c r="D148" s="2" t="s">
        <v>16</v>
      </c>
      <c r="E148" s="3" t="n">
        <v>5</v>
      </c>
      <c r="F148" s="3" t="n">
        <v>5</v>
      </c>
      <c r="G148" s="2" t="s">
        <v>17</v>
      </c>
      <c r="H148" s="2" t="s">
        <v>526</v>
      </c>
      <c r="I148" s="2" t="s">
        <v>19</v>
      </c>
      <c r="J148" s="2" t="s">
        <v>527</v>
      </c>
      <c r="K148" s="3" t="n">
        <f aca="true">IFERROR(DATEDIF(DATEVALUE(A148),TODAY(),"d"),"")</f>
        <v>8</v>
      </c>
      <c r="L148" s="2" t="str">
        <f aca="false">IF(OR(E148="",H148="",H148="anotado sin numero"),"Sin info, no aplica",IF(I148="no","Cerrado, no volver a tocar",IF(I148="vendido","Cliente, no prospectar",IF(I148="respondio","Atender la conversacion hoy",IF(I148="enviado",IF(K148&gt;=1,"Mandar seguimiento (24-48h)","Esperar respuesta"),"Enviar primer mensaje")))))</f>
        <v>Enviar primer mensaje</v>
      </c>
      <c r="M148" s="4" t="str">
        <f aca="true">IF(OR(L148="Sin info, no aplica",L148="Cerrado, no volver a tocar",L148="Cliente, no prospectar"),"",IF(I148="enviado",DATEVALUE(A148)+2,IF(I148="respondio",TODAY(),"")))</f>
        <v/>
      </c>
    </row>
    <row r="149" customFormat="false" ht="15" hidden="false" customHeight="false" outlineLevel="0" collapsed="false">
      <c r="A149" s="2" t="s">
        <v>399</v>
      </c>
      <c r="B149" s="2" t="s">
        <v>528</v>
      </c>
      <c r="C149" s="2" t="s">
        <v>529</v>
      </c>
      <c r="D149" s="2" t="s">
        <v>16</v>
      </c>
      <c r="E149" s="3" t="n">
        <v>19</v>
      </c>
      <c r="F149" s="3" t="n">
        <v>4.7</v>
      </c>
      <c r="G149" s="2" t="s">
        <v>49</v>
      </c>
      <c r="H149" s="2" t="s">
        <v>530</v>
      </c>
      <c r="I149" s="2" t="s">
        <v>19</v>
      </c>
      <c r="J149" s="2" t="s">
        <v>531</v>
      </c>
      <c r="K149" s="3" t="n">
        <f aca="true">IFERROR(DATEDIF(DATEVALUE(A149),TODAY(),"d"),"")</f>
        <v>8</v>
      </c>
      <c r="L149" s="2" t="str">
        <f aca="false">IF(OR(E149="",H149="",H149="anotado sin numero"),"Sin info, no aplica",IF(I149="no","Cerrado, no volver a tocar",IF(I149="vendido","Cliente, no prospectar",IF(I149="respondio","Atender la conversacion hoy",IF(I149="enviado",IF(K149&gt;=1,"Mandar seguimiento (24-48h)","Esperar respuesta"),"Enviar primer mensaje")))))</f>
        <v>Enviar primer mensaje</v>
      </c>
      <c r="M149" s="4" t="str">
        <f aca="true">IF(OR(L149="Sin info, no aplica",L149="Cerrado, no volver a tocar",L149="Cliente, no prospectar"),"",IF(I149="enviado",DATEVALUE(A149)+2,IF(I149="respondio",TODAY(),"")))</f>
        <v/>
      </c>
    </row>
    <row r="150" customFormat="false" ht="15" hidden="false" customHeight="false" outlineLevel="0" collapsed="false">
      <c r="A150" s="2" t="s">
        <v>399</v>
      </c>
      <c r="B150" s="2" t="s">
        <v>532</v>
      </c>
      <c r="C150" s="2" t="s">
        <v>533</v>
      </c>
      <c r="D150" s="2" t="s">
        <v>103</v>
      </c>
      <c r="E150" s="3" t="n">
        <v>7</v>
      </c>
      <c r="F150" s="3" t="n">
        <v>4.3</v>
      </c>
      <c r="G150" s="2" t="s">
        <v>49</v>
      </c>
      <c r="H150" s="2" t="s">
        <v>534</v>
      </c>
      <c r="I150" s="2" t="s">
        <v>19</v>
      </c>
      <c r="J150" s="2" t="s">
        <v>531</v>
      </c>
      <c r="K150" s="3" t="n">
        <f aca="true">IFERROR(DATEDIF(DATEVALUE(A150),TODAY(),"d"),"")</f>
        <v>8</v>
      </c>
      <c r="L150" s="2" t="str">
        <f aca="false">IF(OR(E150="",H150="",H150="anotado sin numero"),"Sin info, no aplica",IF(I150="no","Cerrado, no volver a tocar",IF(I150="vendido","Cliente, no prospectar",IF(I150="respondio","Atender la conversacion hoy",IF(I150="enviado",IF(K150&gt;=1,"Mandar seguimiento (24-48h)","Esperar respuesta"),"Enviar primer mensaje")))))</f>
        <v>Enviar primer mensaje</v>
      </c>
      <c r="M150" s="4" t="str">
        <f aca="true">IF(OR(L150="Sin info, no aplica",L150="Cerrado, no volver a tocar",L150="Cliente, no prospectar"),"",IF(I150="enviado",DATEVALUE(A150)+2,IF(I150="respondio",TODAY(),"")))</f>
        <v/>
      </c>
    </row>
    <row r="151" customFormat="false" ht="15" hidden="false" customHeight="false" outlineLevel="0" collapsed="false">
      <c r="A151" s="2" t="s">
        <v>399</v>
      </c>
      <c r="B151" s="2" t="s">
        <v>535</v>
      </c>
      <c r="C151" s="2" t="s">
        <v>499</v>
      </c>
      <c r="D151" s="2" t="s">
        <v>186</v>
      </c>
      <c r="E151" s="3" t="n">
        <v>36</v>
      </c>
      <c r="F151" s="3" t="n">
        <v>4.6</v>
      </c>
      <c r="G151" s="2" t="s">
        <v>49</v>
      </c>
      <c r="H151" s="2" t="s">
        <v>536</v>
      </c>
      <c r="I151" s="2" t="s">
        <v>19</v>
      </c>
      <c r="J151" s="2" t="s">
        <v>531</v>
      </c>
      <c r="K151" s="3" t="n">
        <f aca="true">IFERROR(DATEDIF(DATEVALUE(A151),TODAY(),"d"),"")</f>
        <v>8</v>
      </c>
      <c r="L151" s="2" t="str">
        <f aca="false">IF(OR(E151="",H151="",H151="anotado sin numero"),"Sin info, no aplica",IF(I151="no","Cerrado, no volver a tocar",IF(I151="vendido","Cliente, no prospectar",IF(I151="respondio","Atender la conversacion hoy",IF(I151="enviado",IF(K151&gt;=1,"Mandar seguimiento (24-48h)","Esperar respuesta"),"Enviar primer mensaje")))))</f>
        <v>Enviar primer mensaje</v>
      </c>
      <c r="M151" s="4" t="str">
        <f aca="true">IF(OR(L151="Sin info, no aplica",L151="Cerrado, no volver a tocar",L151="Cliente, no prospectar"),"",IF(I151="enviado",DATEVALUE(A151)+2,IF(I151="respondio",TODAY(),"")))</f>
        <v/>
      </c>
    </row>
    <row r="152" customFormat="false" ht="15" hidden="false" customHeight="false" outlineLevel="0" collapsed="false">
      <c r="A152" s="2" t="s">
        <v>399</v>
      </c>
      <c r="B152" s="2" t="s">
        <v>537</v>
      </c>
      <c r="C152" s="2" t="s">
        <v>538</v>
      </c>
      <c r="D152" s="2" t="s">
        <v>539</v>
      </c>
      <c r="E152" s="3"/>
      <c r="F152" s="3"/>
      <c r="G152" s="2" t="s">
        <v>386</v>
      </c>
      <c r="H152" s="2" t="s">
        <v>540</v>
      </c>
      <c r="I152" s="2" t="s">
        <v>59</v>
      </c>
      <c r="J152" s="2" t="s">
        <v>541</v>
      </c>
      <c r="K152" s="3" t="n">
        <f aca="true">IFERROR(DATEDIF(DATEVALUE(A152),TODAY(),"d"),"")</f>
        <v>8</v>
      </c>
      <c r="L152" s="2" t="str">
        <f aca="false">IF(OR(E152="",H152="",H152="anotado sin numero"),"Sin info, no aplica",IF(I152="no","Cerrado, no volver a tocar",IF(I152="vendido","Cliente, no prospectar",IF(I152="respondio","Atender la conversacion hoy",IF(I152="enviado",IF(K152&gt;=1,"Mandar seguimiento (24-48h)","Esperar respuesta"),"Enviar primer mensaje")))))</f>
        <v>Sin info, no aplica</v>
      </c>
      <c r="M152" s="4" t="str">
        <f aca="true">IF(OR(L152="Sin info, no aplica",L152="Cerrado, no volver a tocar",L152="Cliente, no prospectar"),"",IF(I152="enviado",DATEVALUE(A152)+2,IF(I152="respondio",TODAY(),"")))</f>
        <v/>
      </c>
    </row>
    <row r="153" customFormat="false" ht="15" hidden="false" customHeight="false" outlineLevel="0" collapsed="false">
      <c r="A153" s="2" t="s">
        <v>399</v>
      </c>
      <c r="B153" s="2" t="s">
        <v>542</v>
      </c>
      <c r="C153" s="2" t="s">
        <v>543</v>
      </c>
      <c r="D153" s="2" t="s">
        <v>103</v>
      </c>
      <c r="E153" s="3" t="n">
        <v>11</v>
      </c>
      <c r="F153" s="3" t="n">
        <v>5</v>
      </c>
      <c r="G153" s="2" t="s">
        <v>17</v>
      </c>
      <c r="H153" s="2" t="s">
        <v>544</v>
      </c>
      <c r="I153" s="2" t="s">
        <v>19</v>
      </c>
      <c r="J153" s="2" t="s">
        <v>545</v>
      </c>
      <c r="K153" s="3" t="n">
        <f aca="true">IFERROR(DATEDIF(DATEVALUE(A153),TODAY(),"d"),"")</f>
        <v>8</v>
      </c>
      <c r="L153" s="2" t="str">
        <f aca="false">IF(OR(E153="",H153="",H153="anotado sin numero"),"Sin info, no aplica",IF(I153="no","Cerrado, no volver a tocar",IF(I153="vendido","Cliente, no prospectar",IF(I153="respondio","Atender la conversacion hoy",IF(I153="enviado",IF(K153&gt;=1,"Mandar seguimiento (24-48h)","Esperar respuesta"),"Enviar primer mensaje")))))</f>
        <v>Enviar primer mensaje</v>
      </c>
      <c r="M153" s="4" t="str">
        <f aca="true">IF(OR(L153="Sin info, no aplica",L153="Cerrado, no volver a tocar",L153="Cliente, no prospectar"),"",IF(I153="enviado",DATEVALUE(A153)+2,IF(I153="respondio",TODAY(),"")))</f>
        <v/>
      </c>
    </row>
    <row r="154" customFormat="false" ht="15" hidden="false" customHeight="false" outlineLevel="0" collapsed="false">
      <c r="A154" s="2" t="s">
        <v>399</v>
      </c>
      <c r="B154" s="2" t="s">
        <v>546</v>
      </c>
      <c r="C154" s="2" t="s">
        <v>385</v>
      </c>
      <c r="D154" s="2" t="s">
        <v>547</v>
      </c>
      <c r="E154" s="3" t="n">
        <v>10</v>
      </c>
      <c r="F154" s="3" t="n">
        <v>4.6</v>
      </c>
      <c r="G154" s="2" t="s">
        <v>17</v>
      </c>
      <c r="H154" s="2" t="s">
        <v>548</v>
      </c>
      <c r="I154" s="2" t="s">
        <v>19</v>
      </c>
      <c r="J154" s="2" t="s">
        <v>549</v>
      </c>
      <c r="K154" s="3" t="n">
        <f aca="true">IFERROR(DATEDIF(DATEVALUE(A154),TODAY(),"d"),"")</f>
        <v>8</v>
      </c>
      <c r="L154" s="2" t="str">
        <f aca="false">IF(OR(E154="",H154="",H154="anotado sin numero"),"Sin info, no aplica",IF(I154="no","Cerrado, no volver a tocar",IF(I154="vendido","Cliente, no prospectar",IF(I154="respondio","Atender la conversacion hoy",IF(I154="enviado",IF(K154&gt;=1,"Mandar seguimiento (24-48h)","Esperar respuesta"),"Enviar primer mensaje")))))</f>
        <v>Enviar primer mensaje</v>
      </c>
      <c r="M154" s="4" t="str">
        <f aca="true">IF(OR(L154="Sin info, no aplica",L154="Cerrado, no volver a tocar",L154="Cliente, no prospectar"),"",IF(I154="enviado",DATEVALUE(A154)+2,IF(I154="respondio",TODAY(),"")))</f>
        <v/>
      </c>
    </row>
    <row r="155" customFormat="false" ht="15" hidden="false" customHeight="false" outlineLevel="0" collapsed="false">
      <c r="A155" s="2" t="s">
        <v>399</v>
      </c>
      <c r="B155" s="2" t="s">
        <v>550</v>
      </c>
      <c r="C155" s="2" t="s">
        <v>385</v>
      </c>
      <c r="D155" s="2" t="s">
        <v>551</v>
      </c>
      <c r="E155" s="3" t="n">
        <v>4</v>
      </c>
      <c r="F155" s="3" t="n">
        <v>4.5</v>
      </c>
      <c r="G155" s="2" t="s">
        <v>17</v>
      </c>
      <c r="H155" s="2" t="s">
        <v>552</v>
      </c>
      <c r="I155" s="2" t="s">
        <v>19</v>
      </c>
      <c r="J155" s="2" t="s">
        <v>553</v>
      </c>
      <c r="K155" s="3" t="n">
        <f aca="true">IFERROR(DATEDIF(DATEVALUE(A155),TODAY(),"d"),"")</f>
        <v>8</v>
      </c>
      <c r="L155" s="2" t="str">
        <f aca="false">IF(OR(E155="",H155="",H155="anotado sin numero"),"Sin info, no aplica",IF(I155="no","Cerrado, no volver a tocar",IF(I155="vendido","Cliente, no prospectar",IF(I155="respondio","Atender la conversacion hoy",IF(I155="enviado",IF(K155&gt;=1,"Mandar seguimiento (24-48h)","Esperar respuesta"),"Enviar primer mensaje")))))</f>
        <v>Enviar primer mensaje</v>
      </c>
      <c r="M155" s="4" t="str">
        <f aca="true">IF(OR(L155="Sin info, no aplica",L155="Cerrado, no volver a tocar",L155="Cliente, no prospectar"),"",IF(I155="enviado",DATEVALUE(A155)+2,IF(I155="respondio",TODAY(),"")))</f>
        <v/>
      </c>
    </row>
    <row r="156" customFormat="false" ht="15" hidden="false" customHeight="false" outlineLevel="0" collapsed="false">
      <c r="A156" s="2" t="s">
        <v>399</v>
      </c>
      <c r="B156" s="2" t="s">
        <v>554</v>
      </c>
      <c r="C156" s="2" t="s">
        <v>555</v>
      </c>
      <c r="D156" s="2" t="s">
        <v>556</v>
      </c>
      <c r="E156" s="3" t="n">
        <v>23</v>
      </c>
      <c r="F156" s="3" t="n">
        <v>4.8</v>
      </c>
      <c r="G156" s="2" t="s">
        <v>17</v>
      </c>
      <c r="H156" s="2" t="s">
        <v>557</v>
      </c>
      <c r="I156" s="2" t="s">
        <v>19</v>
      </c>
      <c r="J156" s="2" t="s">
        <v>558</v>
      </c>
      <c r="K156" s="3" t="n">
        <f aca="true">IFERROR(DATEDIF(DATEVALUE(A156),TODAY(),"d"),"")</f>
        <v>8</v>
      </c>
      <c r="L156" s="2" t="str">
        <f aca="false">IF(OR(E156="",H156="",H156="anotado sin numero"),"Sin info, no aplica",IF(I156="no","Cerrado, no volver a tocar",IF(I156="vendido","Cliente, no prospectar",IF(I156="respondio","Atender la conversacion hoy",IF(I156="enviado",IF(K156&gt;=1,"Mandar seguimiento (24-48h)","Esperar respuesta"),"Enviar primer mensaje")))))</f>
        <v>Enviar primer mensaje</v>
      </c>
      <c r="M156" s="4" t="str">
        <f aca="true">IF(OR(L156="Sin info, no aplica",L156="Cerrado, no volver a tocar",L156="Cliente, no prospectar"),"",IF(I156="enviado",DATEVALUE(A156)+2,IF(I156="respondio",TODAY(),"")))</f>
        <v/>
      </c>
    </row>
    <row r="157" customFormat="false" ht="15" hidden="false" customHeight="false" outlineLevel="0" collapsed="false">
      <c r="A157" s="2" t="s">
        <v>399</v>
      </c>
      <c r="B157" s="2" t="s">
        <v>559</v>
      </c>
      <c r="C157" s="2" t="s">
        <v>543</v>
      </c>
      <c r="D157" s="2" t="s">
        <v>560</v>
      </c>
      <c r="E157" s="3" t="n">
        <v>28</v>
      </c>
      <c r="F157" s="3" t="n">
        <v>4.7</v>
      </c>
      <c r="G157" s="2" t="s">
        <v>17</v>
      </c>
      <c r="H157" s="2" t="s">
        <v>561</v>
      </c>
      <c r="I157" s="2" t="s">
        <v>19</v>
      </c>
      <c r="J157" s="2" t="s">
        <v>545</v>
      </c>
      <c r="K157" s="3" t="n">
        <f aca="true">IFERROR(DATEDIF(DATEVALUE(A157),TODAY(),"d"),"")</f>
        <v>8</v>
      </c>
      <c r="L157" s="2" t="str">
        <f aca="false">IF(OR(E157="",H157="",H157="anotado sin numero"),"Sin info, no aplica",IF(I157="no","Cerrado, no volver a tocar",IF(I157="vendido","Cliente, no prospectar",IF(I157="respondio","Atender la conversacion hoy",IF(I157="enviado",IF(K157&gt;=1,"Mandar seguimiento (24-48h)","Esperar respuesta"),"Enviar primer mensaje")))))</f>
        <v>Enviar primer mensaje</v>
      </c>
      <c r="M157" s="4" t="str">
        <f aca="true">IF(OR(L157="Sin info, no aplica",L157="Cerrado, no volver a tocar",L157="Cliente, no prospectar"),"",IF(I157="enviado",DATEVALUE(A157)+2,IF(I157="respondio",TODAY(),"")))</f>
        <v/>
      </c>
    </row>
    <row r="158" customFormat="false" ht="15" hidden="false" customHeight="false" outlineLevel="0" collapsed="false">
      <c r="A158" s="2" t="s">
        <v>399</v>
      </c>
      <c r="B158" s="2" t="s">
        <v>562</v>
      </c>
      <c r="C158" s="2" t="s">
        <v>563</v>
      </c>
      <c r="D158" s="2" t="s">
        <v>16</v>
      </c>
      <c r="E158" s="3" t="n">
        <v>14</v>
      </c>
      <c r="F158" s="3" t="n">
        <v>4.6</v>
      </c>
      <c r="G158" s="2" t="s">
        <v>17</v>
      </c>
      <c r="H158" s="2" t="s">
        <v>564</v>
      </c>
      <c r="I158" s="2" t="s">
        <v>19</v>
      </c>
      <c r="J158" s="2" t="s">
        <v>565</v>
      </c>
      <c r="K158" s="3" t="n">
        <f aca="true">IFERROR(DATEDIF(DATEVALUE(A158),TODAY(),"d"),"")</f>
        <v>8</v>
      </c>
      <c r="L158" s="2" t="str">
        <f aca="false">IF(OR(E158="",H158="",H158="anotado sin numero"),"Sin info, no aplica",IF(I158="no","Cerrado, no volver a tocar",IF(I158="vendido","Cliente, no prospectar",IF(I158="respondio","Atender la conversacion hoy",IF(I158="enviado",IF(K158&gt;=1,"Mandar seguimiento (24-48h)","Esperar respuesta"),"Enviar primer mensaje")))))</f>
        <v>Enviar primer mensaje</v>
      </c>
      <c r="M158" s="4" t="str">
        <f aca="true">IF(OR(L158="Sin info, no aplica",L158="Cerrado, no volver a tocar",L158="Cliente, no prospectar"),"",IF(I158="enviado",DATEVALUE(A158)+2,IF(I158="respondio",TODAY(),"")))</f>
        <v/>
      </c>
    </row>
    <row r="159" customFormat="false" ht="15" hidden="false" customHeight="false" outlineLevel="0" collapsed="false">
      <c r="A159" s="2" t="s">
        <v>399</v>
      </c>
      <c r="B159" s="2" t="s">
        <v>566</v>
      </c>
      <c r="C159" s="2" t="s">
        <v>567</v>
      </c>
      <c r="D159" s="2" t="s">
        <v>16</v>
      </c>
      <c r="E159" s="3" t="n">
        <v>1</v>
      </c>
      <c r="F159" s="3" t="n">
        <v>5</v>
      </c>
      <c r="G159" s="2" t="s">
        <v>17</v>
      </c>
      <c r="H159" s="2" t="s">
        <v>568</v>
      </c>
      <c r="I159" s="2" t="s">
        <v>19</v>
      </c>
      <c r="J159" s="2" t="s">
        <v>569</v>
      </c>
      <c r="K159" s="3" t="n">
        <f aca="true">IFERROR(DATEDIF(DATEVALUE(A159),TODAY(),"d"),"")</f>
        <v>8</v>
      </c>
      <c r="L159" s="2" t="str">
        <f aca="false">IF(OR(E159="",H159="",H159="anotado sin numero"),"Sin info, no aplica",IF(I159="no","Cerrado, no volver a tocar",IF(I159="vendido","Cliente, no prospectar",IF(I159="respondio","Atender la conversacion hoy",IF(I159="enviado",IF(K159&gt;=1,"Mandar seguimiento (24-48h)","Esperar respuesta"),"Enviar primer mensaje")))))</f>
        <v>Enviar primer mensaje</v>
      </c>
      <c r="M159" s="4" t="str">
        <f aca="true">IF(OR(L159="Sin info, no aplica",L159="Cerrado, no volver a tocar",L159="Cliente, no prospectar"),"",IF(I159="enviado",DATEVALUE(A159)+2,IF(I159="respondio",TODAY(),"")))</f>
        <v/>
      </c>
    </row>
    <row r="160" customFormat="false" ht="15" hidden="false" customHeight="false" outlineLevel="0" collapsed="false">
      <c r="A160" s="2" t="s">
        <v>399</v>
      </c>
      <c r="B160" s="2" t="s">
        <v>570</v>
      </c>
      <c r="C160" s="2" t="s">
        <v>563</v>
      </c>
      <c r="D160" s="2" t="s">
        <v>215</v>
      </c>
      <c r="E160" s="3" t="n">
        <v>29</v>
      </c>
      <c r="F160" s="3" t="n">
        <v>4.8</v>
      </c>
      <c r="G160" s="2" t="s">
        <v>17</v>
      </c>
      <c r="H160" s="2" t="s">
        <v>571</v>
      </c>
      <c r="I160" s="2" t="s">
        <v>19</v>
      </c>
      <c r="J160" s="2" t="s">
        <v>572</v>
      </c>
      <c r="K160" s="3" t="n">
        <f aca="true">IFERROR(DATEDIF(DATEVALUE(A160),TODAY(),"d"),"")</f>
        <v>8</v>
      </c>
      <c r="L160" s="2" t="str">
        <f aca="false">IF(OR(E160="",H160="",H160="anotado sin numero"),"Sin info, no aplica",IF(I160="no","Cerrado, no volver a tocar",IF(I160="vendido","Cliente, no prospectar",IF(I160="respondio","Atender la conversacion hoy",IF(I160="enviado",IF(K160&gt;=1,"Mandar seguimiento (24-48h)","Esperar respuesta"),"Enviar primer mensaje")))))</f>
        <v>Enviar primer mensaje</v>
      </c>
      <c r="M160" s="4" t="str">
        <f aca="true">IF(OR(L160="Sin info, no aplica",L160="Cerrado, no volver a tocar",L160="Cliente, no prospectar"),"",IF(I160="enviado",DATEVALUE(A160)+2,IF(I160="respondio",TODAY(),"")))</f>
        <v/>
      </c>
    </row>
    <row r="161" customFormat="false" ht="15" hidden="false" customHeight="false" outlineLevel="0" collapsed="false">
      <c r="A161" s="2" t="s">
        <v>399</v>
      </c>
      <c r="B161" s="2" t="s">
        <v>573</v>
      </c>
      <c r="C161" s="2" t="s">
        <v>574</v>
      </c>
      <c r="D161" s="2" t="s">
        <v>16</v>
      </c>
      <c r="E161" s="3" t="n">
        <v>1</v>
      </c>
      <c r="F161" s="3" t="n">
        <v>5</v>
      </c>
      <c r="G161" s="2" t="s">
        <v>17</v>
      </c>
      <c r="H161" s="2" t="s">
        <v>575</v>
      </c>
      <c r="I161" s="2" t="s">
        <v>19</v>
      </c>
      <c r="J161" s="2" t="s">
        <v>576</v>
      </c>
      <c r="K161" s="3" t="n">
        <f aca="true">IFERROR(DATEDIF(DATEVALUE(A161),TODAY(),"d"),"")</f>
        <v>8</v>
      </c>
      <c r="L161" s="2" t="str">
        <f aca="false">IF(OR(E161="",H161="",H161="anotado sin numero"),"Sin info, no aplica",IF(I161="no","Cerrado, no volver a tocar",IF(I161="vendido","Cliente, no prospectar",IF(I161="respondio","Atender la conversacion hoy",IF(I161="enviado",IF(K161&gt;=1,"Mandar seguimiento (24-48h)","Esperar respuesta"),"Enviar primer mensaje")))))</f>
        <v>Enviar primer mensaje</v>
      </c>
      <c r="M161" s="4" t="str">
        <f aca="true">IF(OR(L161="Sin info, no aplica",L161="Cerrado, no volver a tocar",L161="Cliente, no prospectar"),"",IF(I161="enviado",DATEVALUE(A161)+2,IF(I161="respondio",TODAY(),"")))</f>
        <v/>
      </c>
    </row>
    <row r="162" customFormat="false" ht="15" hidden="false" customHeight="false" outlineLevel="0" collapsed="false">
      <c r="A162" s="2" t="s">
        <v>399</v>
      </c>
      <c r="B162" s="2" t="s">
        <v>577</v>
      </c>
      <c r="C162" s="2" t="s">
        <v>434</v>
      </c>
      <c r="D162" s="2" t="s">
        <v>16</v>
      </c>
      <c r="E162" s="3" t="n">
        <v>1</v>
      </c>
      <c r="F162" s="3" t="n">
        <v>5</v>
      </c>
      <c r="G162" s="2" t="s">
        <v>17</v>
      </c>
      <c r="H162" s="2" t="s">
        <v>578</v>
      </c>
      <c r="I162" s="2" t="s">
        <v>19</v>
      </c>
      <c r="J162" s="2" t="s">
        <v>579</v>
      </c>
      <c r="K162" s="3" t="n">
        <f aca="true">IFERROR(DATEDIF(DATEVALUE(A162),TODAY(),"d"),"")</f>
        <v>8</v>
      </c>
      <c r="L162" s="2" t="str">
        <f aca="false">IF(OR(E162="",H162="",H162="anotado sin numero"),"Sin info, no aplica",IF(I162="no","Cerrado, no volver a tocar",IF(I162="vendido","Cliente, no prospectar",IF(I162="respondio","Atender la conversacion hoy",IF(I162="enviado",IF(K162&gt;=1,"Mandar seguimiento (24-48h)","Esperar respuesta"),"Enviar primer mensaje")))))</f>
        <v>Enviar primer mensaje</v>
      </c>
      <c r="M162" s="4" t="str">
        <f aca="true">IF(OR(L162="Sin info, no aplica",L162="Cerrado, no volver a tocar",L162="Cliente, no prospectar"),"",IF(I162="enviado",DATEVALUE(A162)+2,IF(I162="respondio",TODAY(),"")))</f>
        <v/>
      </c>
    </row>
    <row r="163" customFormat="false" ht="15" hidden="false" customHeight="false" outlineLevel="0" collapsed="false">
      <c r="A163" s="2" t="s">
        <v>580</v>
      </c>
      <c r="B163" s="2" t="s">
        <v>581</v>
      </c>
      <c r="C163" s="2" t="s">
        <v>343</v>
      </c>
      <c r="D163" s="2" t="s">
        <v>582</v>
      </c>
      <c r="E163" s="3" t="n">
        <v>6</v>
      </c>
      <c r="F163" s="3" t="n">
        <v>4.2</v>
      </c>
      <c r="G163" s="2" t="s">
        <v>17</v>
      </c>
      <c r="H163" s="2" t="s">
        <v>583</v>
      </c>
      <c r="I163" s="2" t="s">
        <v>19</v>
      </c>
      <c r="J163" s="2" t="s">
        <v>584</v>
      </c>
      <c r="K163" s="3" t="n">
        <f aca="true">IFERROR(DATEDIF(DATEVALUE(A163),TODAY(),"d"),"")</f>
        <v>6</v>
      </c>
      <c r="L163" s="2" t="str">
        <f aca="false">IF(OR(E163="",H163="",H163="anotado sin numero"),"Sin info, no aplica",IF(I163="no","Cerrado, no volver a tocar",IF(I163="vendido","Cliente, no prospectar",IF(I163="respondio","Atender la conversacion hoy",IF(I163="enviado",IF(K163&gt;=1,"Mandar seguimiento (24-48h)","Esperar respuesta"),"Enviar primer mensaje")))))</f>
        <v>Enviar primer mensaje</v>
      </c>
      <c r="M163" s="4" t="str">
        <f aca="true">IF(OR(L163="Sin info, no aplica",L163="Cerrado, no volver a tocar",L163="Cliente, no prospectar"),"",IF(I163="enviado",DATEVALUE(A163)+2,IF(I163="respondio",TODAY(),"")))</f>
        <v/>
      </c>
    </row>
    <row r="164" customFormat="false" ht="15" hidden="false" customHeight="false" outlineLevel="0" collapsed="false">
      <c r="A164" s="2" t="s">
        <v>580</v>
      </c>
      <c r="B164" s="2" t="s">
        <v>585</v>
      </c>
      <c r="C164" s="2" t="s">
        <v>586</v>
      </c>
      <c r="D164" s="2" t="s">
        <v>587</v>
      </c>
      <c r="E164" s="3" t="n">
        <v>4</v>
      </c>
      <c r="F164" s="3" t="n">
        <v>5</v>
      </c>
      <c r="G164" s="2" t="s">
        <v>17</v>
      </c>
      <c r="H164" s="2" t="s">
        <v>588</v>
      </c>
      <c r="I164" s="2" t="s">
        <v>19</v>
      </c>
      <c r="J164" s="2" t="s">
        <v>589</v>
      </c>
      <c r="K164" s="3" t="n">
        <f aca="true">IFERROR(DATEDIF(DATEVALUE(A164),TODAY(),"d"),"")</f>
        <v>6</v>
      </c>
      <c r="L164" s="2" t="str">
        <f aca="false">IF(OR(E164="",H164="",H164="anotado sin numero"),"Sin info, no aplica",IF(I164="no","Cerrado, no volver a tocar",IF(I164="vendido","Cliente, no prospectar",IF(I164="respondio","Atender la conversacion hoy",IF(I164="enviado",IF(K164&gt;=1,"Mandar seguimiento (24-48h)","Esperar respuesta"),"Enviar primer mensaje")))))</f>
        <v>Enviar primer mensaje</v>
      </c>
      <c r="M164" s="4" t="str">
        <f aca="true">IF(OR(L164="Sin info, no aplica",L164="Cerrado, no volver a tocar",L164="Cliente, no prospectar"),"",IF(I164="enviado",DATEVALUE(A164)+2,IF(I164="respondio",TODAY(),"")))</f>
        <v/>
      </c>
    </row>
    <row r="165" customFormat="false" ht="15" hidden="false" customHeight="false" outlineLevel="0" collapsed="false">
      <c r="A165" s="2" t="s">
        <v>580</v>
      </c>
      <c r="B165" s="2" t="s">
        <v>590</v>
      </c>
      <c r="C165" s="2" t="s">
        <v>591</v>
      </c>
      <c r="D165" s="2" t="s">
        <v>592</v>
      </c>
      <c r="E165" s="3" t="n">
        <v>20</v>
      </c>
      <c r="F165" s="3" t="n">
        <v>5</v>
      </c>
      <c r="G165" s="2" t="s">
        <v>17</v>
      </c>
      <c r="H165" s="2" t="s">
        <v>593</v>
      </c>
      <c r="I165" s="2" t="s">
        <v>19</v>
      </c>
      <c r="J165" s="2" t="s">
        <v>594</v>
      </c>
      <c r="K165" s="3" t="n">
        <f aca="true">IFERROR(DATEDIF(DATEVALUE(A165),TODAY(),"d"),"")</f>
        <v>6</v>
      </c>
      <c r="L165" s="2" t="str">
        <f aca="false">IF(OR(E165="",H165="",H165="anotado sin numero"),"Sin info, no aplica",IF(I165="no","Cerrado, no volver a tocar",IF(I165="vendido","Cliente, no prospectar",IF(I165="respondio","Atender la conversacion hoy",IF(I165="enviado",IF(K165&gt;=1,"Mandar seguimiento (24-48h)","Esperar respuesta"),"Enviar primer mensaje")))))</f>
        <v>Enviar primer mensaje</v>
      </c>
      <c r="M165" s="4" t="str">
        <f aca="true">IF(OR(L165="Sin info, no aplica",L165="Cerrado, no volver a tocar",L165="Cliente, no prospectar"),"",IF(I165="enviado",DATEVALUE(A165)+2,IF(I165="respondio",TODAY(),"")))</f>
        <v/>
      </c>
    </row>
    <row r="166" customFormat="false" ht="15" hidden="false" customHeight="false" outlineLevel="0" collapsed="false">
      <c r="A166" s="2" t="s">
        <v>580</v>
      </c>
      <c r="B166" s="2" t="s">
        <v>595</v>
      </c>
      <c r="C166" s="2" t="s">
        <v>596</v>
      </c>
      <c r="D166" s="2" t="s">
        <v>597</v>
      </c>
      <c r="E166" s="3" t="n">
        <v>16</v>
      </c>
      <c r="F166" s="3" t="n">
        <v>5</v>
      </c>
      <c r="G166" s="2" t="s">
        <v>17</v>
      </c>
      <c r="H166" s="2" t="s">
        <v>598</v>
      </c>
      <c r="I166" s="2" t="s">
        <v>19</v>
      </c>
      <c r="J166" s="2" t="s">
        <v>594</v>
      </c>
      <c r="K166" s="3" t="n">
        <f aca="true">IFERROR(DATEDIF(DATEVALUE(A166),TODAY(),"d"),"")</f>
        <v>6</v>
      </c>
      <c r="L166" s="2" t="str">
        <f aca="false">IF(OR(E166="",H166="",H166="anotado sin numero"),"Sin info, no aplica",IF(I166="no","Cerrado, no volver a tocar",IF(I166="vendido","Cliente, no prospectar",IF(I166="respondio","Atender la conversacion hoy",IF(I166="enviado",IF(K166&gt;=1,"Mandar seguimiento (24-48h)","Esperar respuesta"),"Enviar primer mensaje")))))</f>
        <v>Enviar primer mensaje</v>
      </c>
      <c r="M166" s="4" t="str">
        <f aca="true">IF(OR(L166="Sin info, no aplica",L166="Cerrado, no volver a tocar",L166="Cliente, no prospectar"),"",IF(I166="enviado",DATEVALUE(A166)+2,IF(I166="respondio",TODAY(),"")))</f>
        <v/>
      </c>
    </row>
    <row r="167" customFormat="false" ht="15" hidden="false" customHeight="false" outlineLevel="0" collapsed="false">
      <c r="A167" s="2" t="s">
        <v>580</v>
      </c>
      <c r="B167" s="2" t="s">
        <v>599</v>
      </c>
      <c r="C167" s="2" t="s">
        <v>600</v>
      </c>
      <c r="D167" s="2" t="s">
        <v>601</v>
      </c>
      <c r="E167" s="3" t="n">
        <v>11</v>
      </c>
      <c r="F167" s="3" t="n">
        <v>4.3</v>
      </c>
      <c r="G167" s="2" t="s">
        <v>17</v>
      </c>
      <c r="H167" s="2" t="s">
        <v>602</v>
      </c>
      <c r="I167" s="2" t="s">
        <v>19</v>
      </c>
      <c r="J167" s="2" t="s">
        <v>594</v>
      </c>
      <c r="K167" s="3" t="n">
        <f aca="true">IFERROR(DATEDIF(DATEVALUE(A167),TODAY(),"d"),"")</f>
        <v>6</v>
      </c>
      <c r="L167" s="2" t="str">
        <f aca="false">IF(OR(E167="",H167="",H167="anotado sin numero"),"Sin info, no aplica",IF(I167="no","Cerrado, no volver a tocar",IF(I167="vendido","Cliente, no prospectar",IF(I167="respondio","Atender la conversacion hoy",IF(I167="enviado",IF(K167&gt;=1,"Mandar seguimiento (24-48h)","Esperar respuesta"),"Enviar primer mensaje")))))</f>
        <v>Enviar primer mensaje</v>
      </c>
      <c r="M167" s="4" t="str">
        <f aca="true">IF(OR(L167="Sin info, no aplica",L167="Cerrado, no volver a tocar",L167="Cliente, no prospectar"),"",IF(I167="enviado",DATEVALUE(A167)+2,IF(I167="respondio",TODAY(),"")))</f>
        <v/>
      </c>
    </row>
    <row r="168" customFormat="false" ht="15" hidden="false" customHeight="false" outlineLevel="0" collapsed="false">
      <c r="A168" s="2" t="s">
        <v>580</v>
      </c>
      <c r="B168" s="2" t="s">
        <v>603</v>
      </c>
      <c r="C168" s="2" t="s">
        <v>604</v>
      </c>
      <c r="D168" s="2" t="s">
        <v>605</v>
      </c>
      <c r="E168" s="3" t="n">
        <v>13</v>
      </c>
      <c r="F168" s="3" t="n">
        <v>5</v>
      </c>
      <c r="G168" s="2" t="s">
        <v>17</v>
      </c>
      <c r="H168" s="2" t="s">
        <v>606</v>
      </c>
      <c r="I168" s="2" t="s">
        <v>607</v>
      </c>
      <c r="J168" s="2" t="s">
        <v>608</v>
      </c>
      <c r="K168" s="3" t="n">
        <f aca="true">IFERROR(DATEDIF(DATEVALUE(A168),TODAY(),"d"),"")</f>
        <v>6</v>
      </c>
      <c r="L168" s="2" t="str">
        <f aca="false">IF(OR(E168="",H168="",H168="anotado sin numero"),"Sin info, no aplica",IF(I168="no","Cerrado, no volver a tocar",IF(I168="vendido","Cliente, no prospectar",IF(I168="respondio","Atender la conversacion hoy",IF(I168="enviado",IF(K168&gt;=1,"Mandar seguimiento (24-48h)","Esperar respuesta"),"Enviar primer mensaje")))))</f>
        <v>Cliente, no prospectar</v>
      </c>
      <c r="M168" s="4" t="str">
        <f aca="true">IF(OR(L168="Sin info, no aplica",L168="Cerrado, no volver a tocar",L168="Cliente, no prospectar"),"",IF(I168="enviado",DATEVALUE(A168)+2,IF(I168="respondio",TODAY(),"")))</f>
        <v/>
      </c>
    </row>
    <row r="169" customFormat="false" ht="15" hidden="false" customHeight="false" outlineLevel="0" collapsed="false">
      <c r="A169" s="2" t="s">
        <v>580</v>
      </c>
      <c r="B169" s="2" t="s">
        <v>609</v>
      </c>
      <c r="C169" s="2" t="s">
        <v>543</v>
      </c>
      <c r="D169" s="2" t="s">
        <v>610</v>
      </c>
      <c r="E169" s="3" t="n">
        <v>5</v>
      </c>
      <c r="F169" s="3" t="n">
        <v>5</v>
      </c>
      <c r="G169" s="2" t="s">
        <v>17</v>
      </c>
      <c r="H169" s="2" t="s">
        <v>611</v>
      </c>
      <c r="I169" s="2" t="s">
        <v>19</v>
      </c>
      <c r="J169" s="2" t="s">
        <v>612</v>
      </c>
      <c r="K169" s="3" t="n">
        <f aca="true">IFERROR(DATEDIF(DATEVALUE(A169),TODAY(),"d"),"")</f>
        <v>6</v>
      </c>
      <c r="L169" s="2" t="str">
        <f aca="false">IF(OR(E169="",H169="",H169="anotado sin numero"),"Sin info, no aplica",IF(I169="no","Cerrado, no volver a tocar",IF(I169="vendido","Cliente, no prospectar",IF(I169="respondio","Atender la conversacion hoy",IF(I169="enviado",IF(K169&gt;=1,"Mandar seguimiento (24-48h)","Esperar respuesta"),"Enviar primer mensaje")))))</f>
        <v>Enviar primer mensaje</v>
      </c>
      <c r="M169" s="4" t="str">
        <f aca="true">IF(OR(L169="Sin info, no aplica",L169="Cerrado, no volver a tocar",L169="Cliente, no prospectar"),"",IF(I169="enviado",DATEVALUE(A169)+2,IF(I169="respondio",TODAY(),"")))</f>
        <v/>
      </c>
    </row>
    <row r="170" customFormat="false" ht="15" hidden="false" customHeight="false" outlineLevel="0" collapsed="false">
      <c r="A170" s="2" t="s">
        <v>580</v>
      </c>
      <c r="B170" s="2" t="s">
        <v>613</v>
      </c>
      <c r="C170" s="2" t="s">
        <v>614</v>
      </c>
      <c r="D170" s="2" t="s">
        <v>615</v>
      </c>
      <c r="E170" s="3" t="n">
        <v>4</v>
      </c>
      <c r="F170" s="3" t="n">
        <v>4.8</v>
      </c>
      <c r="G170" s="2" t="s">
        <v>17</v>
      </c>
      <c r="H170" s="2" t="s">
        <v>616</v>
      </c>
      <c r="I170" s="2" t="s">
        <v>19</v>
      </c>
      <c r="J170" s="2" t="s">
        <v>617</v>
      </c>
      <c r="K170" s="3" t="n">
        <f aca="true">IFERROR(DATEDIF(DATEVALUE(A170),TODAY(),"d"),"")</f>
        <v>6</v>
      </c>
      <c r="L170" s="2" t="str">
        <f aca="false">IF(OR(E170="",H170="",H170="anotado sin numero"),"Sin info, no aplica",IF(I170="no","Cerrado, no volver a tocar",IF(I170="vendido","Cliente, no prospectar",IF(I170="respondio","Atender la conversacion hoy",IF(I170="enviado",IF(K170&gt;=1,"Mandar seguimiento (24-48h)","Esperar respuesta"),"Enviar primer mensaje")))))</f>
        <v>Enviar primer mensaje</v>
      </c>
      <c r="M170" s="4" t="str">
        <f aca="true">IF(OR(L170="Sin info, no aplica",L170="Cerrado, no volver a tocar",L170="Cliente, no prospectar"),"",IF(I170="enviado",DATEVALUE(A170)+2,IF(I170="respondio",TODAY(),"")))</f>
        <v/>
      </c>
    </row>
    <row r="171" customFormat="false" ht="15" hidden="false" customHeight="false" outlineLevel="0" collapsed="false">
      <c r="A171" s="2" t="s">
        <v>580</v>
      </c>
      <c r="B171" s="2" t="s">
        <v>618</v>
      </c>
      <c r="C171" s="2" t="s">
        <v>543</v>
      </c>
      <c r="D171" s="2" t="s">
        <v>619</v>
      </c>
      <c r="E171" s="3" t="n">
        <v>13</v>
      </c>
      <c r="F171" s="3" t="n">
        <v>4.9</v>
      </c>
      <c r="G171" s="2" t="s">
        <v>17</v>
      </c>
      <c r="H171" s="2" t="s">
        <v>620</v>
      </c>
      <c r="I171" s="2" t="s">
        <v>19</v>
      </c>
      <c r="J171" s="2" t="s">
        <v>617</v>
      </c>
      <c r="K171" s="3" t="n">
        <f aca="true">IFERROR(DATEDIF(DATEVALUE(A171),TODAY(),"d"),"")</f>
        <v>6</v>
      </c>
      <c r="L171" s="2" t="str">
        <f aca="false">IF(OR(E171="",H171="",H171="anotado sin numero"),"Sin info, no aplica",IF(I171="no","Cerrado, no volver a tocar",IF(I171="vendido","Cliente, no prospectar",IF(I171="respondio","Atender la conversacion hoy",IF(I171="enviado",IF(K171&gt;=1,"Mandar seguimiento (24-48h)","Esperar respuesta"),"Enviar primer mensaje")))))</f>
        <v>Enviar primer mensaje</v>
      </c>
      <c r="M171" s="4" t="str">
        <f aca="true">IF(OR(L171="Sin info, no aplica",L171="Cerrado, no volver a tocar",L171="Cliente, no prospectar"),"",IF(I171="enviado",DATEVALUE(A171)+2,IF(I171="respondio",TODAY(),"")))</f>
        <v/>
      </c>
    </row>
    <row r="172" customFormat="false" ht="15" hidden="false" customHeight="false" outlineLevel="0" collapsed="false">
      <c r="A172" s="2" t="s">
        <v>580</v>
      </c>
      <c r="B172" s="2" t="s">
        <v>621</v>
      </c>
      <c r="C172" s="2" t="s">
        <v>622</v>
      </c>
      <c r="D172" s="2" t="s">
        <v>623</v>
      </c>
      <c r="E172" s="3" t="n">
        <v>2</v>
      </c>
      <c r="F172" s="3" t="n">
        <v>5</v>
      </c>
      <c r="G172" s="2" t="s">
        <v>17</v>
      </c>
      <c r="H172" s="2" t="s">
        <v>624</v>
      </c>
      <c r="I172" s="2" t="s">
        <v>19</v>
      </c>
      <c r="J172" s="2" t="s">
        <v>625</v>
      </c>
      <c r="K172" s="3" t="n">
        <f aca="true">IFERROR(DATEDIF(DATEVALUE(A172),TODAY(),"d"),"")</f>
        <v>6</v>
      </c>
      <c r="L172" s="2" t="str">
        <f aca="false">IF(OR(E172="",H172="",H172="anotado sin numero"),"Sin info, no aplica",IF(I172="no","Cerrado, no volver a tocar",IF(I172="vendido","Cliente, no prospectar",IF(I172="respondio","Atender la conversacion hoy",IF(I172="enviado",IF(K172&gt;=1,"Mandar seguimiento (24-48h)","Esperar respuesta"),"Enviar primer mensaje")))))</f>
        <v>Enviar primer mensaje</v>
      </c>
      <c r="M172" s="4" t="str">
        <f aca="true">IF(OR(L172="Sin info, no aplica",L172="Cerrado, no volver a tocar",L172="Cliente, no prospectar"),"",IF(I172="enviado",DATEVALUE(A172)+2,IF(I172="respondio",TODAY(),"")))</f>
        <v/>
      </c>
    </row>
    <row r="173" customFormat="false" ht="15" hidden="false" customHeight="false" outlineLevel="0" collapsed="false">
      <c r="A173" s="2" t="s">
        <v>580</v>
      </c>
      <c r="B173" s="2" t="s">
        <v>626</v>
      </c>
      <c r="C173" s="2" t="s">
        <v>627</v>
      </c>
      <c r="D173" s="2" t="s">
        <v>628</v>
      </c>
      <c r="E173" s="3" t="n">
        <v>6</v>
      </c>
      <c r="F173" s="3" t="n">
        <v>5</v>
      </c>
      <c r="G173" s="2" t="s">
        <v>17</v>
      </c>
      <c r="H173" s="2" t="s">
        <v>629</v>
      </c>
      <c r="I173" s="2" t="s">
        <v>19</v>
      </c>
      <c r="J173" s="2" t="s">
        <v>625</v>
      </c>
      <c r="K173" s="3" t="n">
        <f aca="true">IFERROR(DATEDIF(DATEVALUE(A173),TODAY(),"d"),"")</f>
        <v>6</v>
      </c>
      <c r="L173" s="2" t="str">
        <f aca="false">IF(OR(E173="",H173="",H173="anotado sin numero"),"Sin info, no aplica",IF(I173="no","Cerrado, no volver a tocar",IF(I173="vendido","Cliente, no prospectar",IF(I173="respondio","Atender la conversacion hoy",IF(I173="enviado",IF(K173&gt;=1,"Mandar seguimiento (24-48h)","Esperar respuesta"),"Enviar primer mensaje")))))</f>
        <v>Enviar primer mensaje</v>
      </c>
      <c r="M173" s="4" t="str">
        <f aca="true">IF(OR(L173="Sin info, no aplica",L173="Cerrado, no volver a tocar",L173="Cliente, no prospectar"),"",IF(I173="enviado",DATEVALUE(A173)+2,IF(I173="respondio",TODAY(),"")))</f>
        <v/>
      </c>
    </row>
    <row r="174" customFormat="false" ht="15" hidden="false" customHeight="false" outlineLevel="0" collapsed="false">
      <c r="A174" s="2" t="s">
        <v>580</v>
      </c>
      <c r="B174" s="2" t="s">
        <v>630</v>
      </c>
      <c r="C174" s="2" t="s">
        <v>631</v>
      </c>
      <c r="D174" s="2" t="s">
        <v>632</v>
      </c>
      <c r="E174" s="3" t="n">
        <v>11</v>
      </c>
      <c r="F174" s="3" t="n">
        <v>5</v>
      </c>
      <c r="G174" s="2" t="s">
        <v>17</v>
      </c>
      <c r="H174" s="2" t="s">
        <v>633</v>
      </c>
      <c r="I174" s="2" t="s">
        <v>19</v>
      </c>
      <c r="J174" s="2" t="s">
        <v>625</v>
      </c>
      <c r="K174" s="3" t="n">
        <f aca="true">IFERROR(DATEDIF(DATEVALUE(A174),TODAY(),"d"),"")</f>
        <v>6</v>
      </c>
      <c r="L174" s="2" t="str">
        <f aca="false">IF(OR(E174="",H174="",H174="anotado sin numero"),"Sin info, no aplica",IF(I174="no","Cerrado, no volver a tocar",IF(I174="vendido","Cliente, no prospectar",IF(I174="respondio","Atender la conversacion hoy",IF(I174="enviado",IF(K174&gt;=1,"Mandar seguimiento (24-48h)","Esperar respuesta"),"Enviar primer mensaje")))))</f>
        <v>Enviar primer mensaje</v>
      </c>
      <c r="M174" s="4" t="str">
        <f aca="true">IF(OR(L174="Sin info, no aplica",L174="Cerrado, no volver a tocar",L174="Cliente, no prospectar"),"",IF(I174="enviado",DATEVALUE(A174)+2,IF(I174="respondio",TODAY(),"")))</f>
        <v/>
      </c>
    </row>
    <row r="175" customFormat="false" ht="15" hidden="false" customHeight="false" outlineLevel="0" collapsed="false">
      <c r="A175" s="2" t="s">
        <v>580</v>
      </c>
      <c r="B175" s="2" t="s">
        <v>634</v>
      </c>
      <c r="C175" s="2" t="s">
        <v>343</v>
      </c>
      <c r="D175" s="2" t="s">
        <v>635</v>
      </c>
      <c r="E175" s="3" t="n">
        <v>7</v>
      </c>
      <c r="F175" s="3" t="n">
        <v>4.4</v>
      </c>
      <c r="G175" s="2" t="s">
        <v>49</v>
      </c>
      <c r="H175" s="2" t="s">
        <v>636</v>
      </c>
      <c r="I175" s="2" t="s">
        <v>19</v>
      </c>
      <c r="J175" s="2" t="s">
        <v>637</v>
      </c>
      <c r="K175" s="3" t="n">
        <f aca="true">IFERROR(DATEDIF(DATEVALUE(A175),TODAY(),"d"),"")</f>
        <v>6</v>
      </c>
      <c r="L175" s="2" t="str">
        <f aca="false">IF(OR(E175="",H175="",H175="anotado sin numero"),"Sin info, no aplica",IF(I175="no","Cerrado, no volver a tocar",IF(I175="vendido","Cliente, no prospectar",IF(I175="respondio","Atender la conversacion hoy",IF(I175="enviado",IF(K175&gt;=1,"Mandar seguimiento (24-48h)","Esperar respuesta"),"Enviar primer mensaje")))))</f>
        <v>Enviar primer mensaje</v>
      </c>
      <c r="M175" s="4" t="str">
        <f aca="true">IF(OR(L175="Sin info, no aplica",L175="Cerrado, no volver a tocar",L175="Cliente, no prospectar"),"",IF(I175="enviado",DATEVALUE(A175)+2,IF(I175="respondio",TODAY(),"")))</f>
        <v/>
      </c>
    </row>
    <row r="176" customFormat="false" ht="15" hidden="false" customHeight="false" outlineLevel="0" collapsed="false">
      <c r="A176" s="2" t="s">
        <v>580</v>
      </c>
      <c r="B176" s="2" t="s">
        <v>638</v>
      </c>
      <c r="C176" s="2" t="s">
        <v>343</v>
      </c>
      <c r="D176" s="2" t="s">
        <v>639</v>
      </c>
      <c r="E176" s="3" t="n">
        <v>12</v>
      </c>
      <c r="F176" s="3" t="n">
        <v>5</v>
      </c>
      <c r="G176" s="2" t="s">
        <v>49</v>
      </c>
      <c r="H176" s="2" t="s">
        <v>640</v>
      </c>
      <c r="I176" s="2" t="s">
        <v>19</v>
      </c>
      <c r="J176" s="2" t="s">
        <v>637</v>
      </c>
      <c r="K176" s="3" t="n">
        <f aca="true">IFERROR(DATEDIF(DATEVALUE(A176),TODAY(),"d"),"")</f>
        <v>6</v>
      </c>
      <c r="L176" s="2" t="str">
        <f aca="false">IF(OR(E176="",H176="",H176="anotado sin numero"),"Sin info, no aplica",IF(I176="no","Cerrado, no volver a tocar",IF(I176="vendido","Cliente, no prospectar",IF(I176="respondio","Atender la conversacion hoy",IF(I176="enviado",IF(K176&gt;=1,"Mandar seguimiento (24-48h)","Esperar respuesta"),"Enviar primer mensaje")))))</f>
        <v>Enviar primer mensaje</v>
      </c>
      <c r="M176" s="4" t="str">
        <f aca="true">IF(OR(L176="Sin info, no aplica",L176="Cerrado, no volver a tocar",L176="Cliente, no prospectar"),"",IF(I176="enviado",DATEVALUE(A176)+2,IF(I176="respondio",TODAY(),"")))</f>
        <v/>
      </c>
    </row>
    <row r="177" customFormat="false" ht="15" hidden="false" customHeight="false" outlineLevel="0" collapsed="false">
      <c r="A177" s="2" t="s">
        <v>580</v>
      </c>
      <c r="B177" s="2" t="s">
        <v>641</v>
      </c>
      <c r="C177" s="2" t="s">
        <v>591</v>
      </c>
      <c r="D177" s="2" t="s">
        <v>642</v>
      </c>
      <c r="E177" s="3" t="n">
        <v>6</v>
      </c>
      <c r="F177" s="3" t="n">
        <v>5</v>
      </c>
      <c r="G177" s="2" t="s">
        <v>49</v>
      </c>
      <c r="H177" s="2" t="s">
        <v>643</v>
      </c>
      <c r="I177" s="2" t="s">
        <v>19</v>
      </c>
      <c r="J177" s="2" t="s">
        <v>644</v>
      </c>
      <c r="K177" s="3" t="n">
        <f aca="true">IFERROR(DATEDIF(DATEVALUE(A177),TODAY(),"d"),"")</f>
        <v>6</v>
      </c>
      <c r="L177" s="2" t="str">
        <f aca="false">IF(OR(E177="",H177="",H177="anotado sin numero"),"Sin info, no aplica",IF(I177="no","Cerrado, no volver a tocar",IF(I177="vendido","Cliente, no prospectar",IF(I177="respondio","Atender la conversacion hoy",IF(I177="enviado",IF(K177&gt;=1,"Mandar seguimiento (24-48h)","Esperar respuesta"),"Enviar primer mensaje")))))</f>
        <v>Enviar primer mensaje</v>
      </c>
      <c r="M177" s="4" t="str">
        <f aca="true">IF(OR(L177="Sin info, no aplica",L177="Cerrado, no volver a tocar",L177="Cliente, no prospectar"),"",IF(I177="enviado",DATEVALUE(A177)+2,IF(I177="respondio",TODAY(),"")))</f>
        <v/>
      </c>
    </row>
    <row r="178" customFormat="false" ht="15" hidden="false" customHeight="false" outlineLevel="0" collapsed="false">
      <c r="A178" s="2" t="s">
        <v>580</v>
      </c>
      <c r="B178" s="2" t="s">
        <v>645</v>
      </c>
      <c r="C178" s="2" t="s">
        <v>646</v>
      </c>
      <c r="D178" s="2" t="s">
        <v>647</v>
      </c>
      <c r="E178" s="3" t="n">
        <v>19</v>
      </c>
      <c r="F178" s="3" t="n">
        <v>5</v>
      </c>
      <c r="G178" s="2" t="s">
        <v>49</v>
      </c>
      <c r="H178" s="2" t="s">
        <v>648</v>
      </c>
      <c r="I178" s="2" t="s">
        <v>19</v>
      </c>
      <c r="J178" s="2" t="s">
        <v>644</v>
      </c>
      <c r="K178" s="3" t="n">
        <f aca="true">IFERROR(DATEDIF(DATEVALUE(A178),TODAY(),"d"),"")</f>
        <v>6</v>
      </c>
      <c r="L178" s="2" t="str">
        <f aca="false">IF(OR(E178="",H178="",H178="anotado sin numero"),"Sin info, no aplica",IF(I178="no","Cerrado, no volver a tocar",IF(I178="vendido","Cliente, no prospectar",IF(I178="respondio","Atender la conversacion hoy",IF(I178="enviado",IF(K178&gt;=1,"Mandar seguimiento (24-48h)","Esperar respuesta"),"Enviar primer mensaje")))))</f>
        <v>Enviar primer mensaje</v>
      </c>
      <c r="M178" s="4" t="str">
        <f aca="true">IF(OR(L178="Sin info, no aplica",L178="Cerrado, no volver a tocar",L178="Cliente, no prospectar"),"",IF(I178="enviado",DATEVALUE(A178)+2,IF(I178="respondio",TODAY(),"")))</f>
        <v/>
      </c>
    </row>
    <row r="179" customFormat="false" ht="15" hidden="false" customHeight="false" outlineLevel="0" collapsed="false">
      <c r="A179" s="2" t="s">
        <v>580</v>
      </c>
      <c r="B179" s="2" t="s">
        <v>649</v>
      </c>
      <c r="C179" s="2" t="s">
        <v>543</v>
      </c>
      <c r="D179" s="2" t="s">
        <v>650</v>
      </c>
      <c r="E179" s="3" t="n">
        <v>7</v>
      </c>
      <c r="F179" s="3" t="n">
        <v>5</v>
      </c>
      <c r="G179" s="2" t="s">
        <v>49</v>
      </c>
      <c r="H179" s="2" t="s">
        <v>651</v>
      </c>
      <c r="I179" s="2" t="s">
        <v>19</v>
      </c>
      <c r="J179" s="2" t="s">
        <v>652</v>
      </c>
      <c r="K179" s="3" t="n">
        <f aca="true">IFERROR(DATEDIF(DATEVALUE(A179),TODAY(),"d"),"")</f>
        <v>6</v>
      </c>
      <c r="L179" s="2" t="str">
        <f aca="false">IF(OR(E179="",H179="",H179="anotado sin numero"),"Sin info, no aplica",IF(I179="no","Cerrado, no volver a tocar",IF(I179="vendido","Cliente, no prospectar",IF(I179="respondio","Atender la conversacion hoy",IF(I179="enviado",IF(K179&gt;=1,"Mandar seguimiento (24-48h)","Esperar respuesta"),"Enviar primer mensaje")))))</f>
        <v>Enviar primer mensaje</v>
      </c>
      <c r="M179" s="4" t="str">
        <f aca="true">IF(OR(L179="Sin info, no aplica",L179="Cerrado, no volver a tocar",L179="Cliente, no prospectar"),"",IF(I179="enviado",DATEVALUE(A179)+2,IF(I179="respondio",TODAY(),"")))</f>
        <v/>
      </c>
    </row>
    <row r="180" customFormat="false" ht="15" hidden="false" customHeight="false" outlineLevel="0" collapsed="false">
      <c r="A180" s="2" t="s">
        <v>580</v>
      </c>
      <c r="B180" s="2" t="s">
        <v>653</v>
      </c>
      <c r="C180" s="2" t="s">
        <v>654</v>
      </c>
      <c r="D180" s="2" t="s">
        <v>655</v>
      </c>
      <c r="E180" s="3" t="n">
        <v>10</v>
      </c>
      <c r="F180" s="3" t="n">
        <v>4.6</v>
      </c>
      <c r="G180" s="2" t="s">
        <v>49</v>
      </c>
      <c r="H180" s="2" t="s">
        <v>656</v>
      </c>
      <c r="I180" s="2" t="s">
        <v>19</v>
      </c>
      <c r="J180" s="2" t="s">
        <v>657</v>
      </c>
      <c r="K180" s="3" t="n">
        <f aca="true">IFERROR(DATEDIF(DATEVALUE(A180),TODAY(),"d"),"")</f>
        <v>6</v>
      </c>
      <c r="L180" s="2" t="str">
        <f aca="false">IF(OR(E180="",H180="",H180="anotado sin numero"),"Sin info, no aplica",IF(I180="no","Cerrado, no volver a tocar",IF(I180="vendido","Cliente, no prospectar",IF(I180="respondio","Atender la conversacion hoy",IF(I180="enviado",IF(K180&gt;=1,"Mandar seguimiento (24-48h)","Esperar respuesta"),"Enviar primer mensaje")))))</f>
        <v>Enviar primer mensaje</v>
      </c>
      <c r="M180" s="4" t="str">
        <f aca="true">IF(OR(L180="Sin info, no aplica",L180="Cerrado, no volver a tocar",L180="Cliente, no prospectar"),"",IF(I180="enviado",DATEVALUE(A180)+2,IF(I180="respondio",TODAY(),"")))</f>
        <v/>
      </c>
    </row>
    <row r="181" customFormat="false" ht="15" hidden="false" customHeight="false" outlineLevel="0" collapsed="false">
      <c r="A181" s="2" t="s">
        <v>580</v>
      </c>
      <c r="B181" s="2" t="s">
        <v>658</v>
      </c>
      <c r="C181" s="2" t="s">
        <v>622</v>
      </c>
      <c r="D181" s="2" t="s">
        <v>623</v>
      </c>
      <c r="E181" s="3" t="n">
        <v>5</v>
      </c>
      <c r="F181" s="3" t="n">
        <v>5</v>
      </c>
      <c r="G181" s="2" t="s">
        <v>49</v>
      </c>
      <c r="H181" s="2" t="s">
        <v>659</v>
      </c>
      <c r="I181" s="2" t="s">
        <v>19</v>
      </c>
      <c r="J181" s="2" t="s">
        <v>657</v>
      </c>
      <c r="K181" s="3" t="n">
        <f aca="true">IFERROR(DATEDIF(DATEVALUE(A181),TODAY(),"d"),"")</f>
        <v>6</v>
      </c>
      <c r="L181" s="2" t="str">
        <f aca="false">IF(OR(E181="",H181="",H181="anotado sin numero"),"Sin info, no aplica",IF(I181="no","Cerrado, no volver a tocar",IF(I181="vendido","Cliente, no prospectar",IF(I181="respondio","Atender la conversacion hoy",IF(I181="enviado",IF(K181&gt;=1,"Mandar seguimiento (24-48h)","Esperar respuesta"),"Enviar primer mensaje")))))</f>
        <v>Enviar primer mensaje</v>
      </c>
      <c r="M181" s="4" t="str">
        <f aca="true">IF(OR(L181="Sin info, no aplica",L181="Cerrado, no volver a tocar",L181="Cliente, no prospectar"),"",IF(I181="enviado",DATEVALUE(A181)+2,IF(I181="respondio",TODAY(),"")))</f>
        <v/>
      </c>
    </row>
    <row r="182" customFormat="false" ht="15" hidden="false" customHeight="false" outlineLevel="0" collapsed="false">
      <c r="A182" s="2" t="s">
        <v>580</v>
      </c>
      <c r="B182" s="2" t="s">
        <v>660</v>
      </c>
      <c r="C182" s="2" t="s">
        <v>262</v>
      </c>
      <c r="D182" s="2" t="s">
        <v>661</v>
      </c>
      <c r="E182" s="3" t="n">
        <v>6</v>
      </c>
      <c r="F182" s="3" t="n">
        <v>4.8</v>
      </c>
      <c r="G182" s="2" t="s">
        <v>17</v>
      </c>
      <c r="H182" s="2" t="s">
        <v>662</v>
      </c>
      <c r="I182" s="2" t="s">
        <v>19</v>
      </c>
      <c r="J182" s="2" t="s">
        <v>663</v>
      </c>
      <c r="K182" s="3" t="n">
        <f aca="true">IFERROR(DATEDIF(DATEVALUE(A182),TODAY(),"d"),"")</f>
        <v>6</v>
      </c>
      <c r="L182" s="2" t="str">
        <f aca="false">IF(OR(E182="",H182="",H182="anotado sin numero"),"Sin info, no aplica",IF(I182="no","Cerrado, no volver a tocar",IF(I182="vendido","Cliente, no prospectar",IF(I182="respondio","Atender la conversacion hoy",IF(I182="enviado",IF(K182&gt;=1,"Mandar seguimiento (24-48h)","Esperar respuesta"),"Enviar primer mensaje")))))</f>
        <v>Enviar primer mensaje</v>
      </c>
      <c r="M182" s="4" t="str">
        <f aca="true">IF(OR(L182="Sin info, no aplica",L182="Cerrado, no volver a tocar",L182="Cliente, no prospectar"),"",IF(I182="enviado",DATEVALUE(A182)+2,IF(I182="respondio",TODAY(),"")))</f>
        <v/>
      </c>
    </row>
    <row r="183" customFormat="false" ht="15" hidden="false" customHeight="false" outlineLevel="0" collapsed="false">
      <c r="A183" s="2" t="s">
        <v>580</v>
      </c>
      <c r="B183" s="2" t="s">
        <v>664</v>
      </c>
      <c r="C183" s="2" t="s">
        <v>262</v>
      </c>
      <c r="D183" s="2" t="s">
        <v>441</v>
      </c>
      <c r="E183" s="3" t="n">
        <v>6</v>
      </c>
      <c r="F183" s="3" t="n">
        <v>4.8</v>
      </c>
      <c r="G183" s="2" t="s">
        <v>17</v>
      </c>
      <c r="H183" s="2" t="s">
        <v>665</v>
      </c>
      <c r="I183" s="2" t="s">
        <v>19</v>
      </c>
      <c r="J183" s="2" t="s">
        <v>666</v>
      </c>
      <c r="K183" s="3" t="n">
        <f aca="true">IFERROR(DATEDIF(DATEVALUE(A183),TODAY(),"d"),"")</f>
        <v>6</v>
      </c>
      <c r="L183" s="2" t="str">
        <f aca="false">IF(OR(E183="",H183="",H183="anotado sin numero"),"Sin info, no aplica",IF(I183="no","Cerrado, no volver a tocar",IF(I183="vendido","Cliente, no prospectar",IF(I183="respondio","Atender la conversacion hoy",IF(I183="enviado",IF(K183&gt;=1,"Mandar seguimiento (24-48h)","Esperar respuesta"),"Enviar primer mensaje")))))</f>
        <v>Enviar primer mensaje</v>
      </c>
      <c r="M183" s="4" t="str">
        <f aca="true">IF(OR(L183="Sin info, no aplica",L183="Cerrado, no volver a tocar",L183="Cliente, no prospectar"),"",IF(I183="enviado",DATEVALUE(A183)+2,IF(I183="respondio",TODAY(),"")))</f>
        <v/>
      </c>
    </row>
    <row r="184" customFormat="false" ht="15" hidden="false" customHeight="false" outlineLevel="0" collapsed="false">
      <c r="A184" s="2" t="s">
        <v>580</v>
      </c>
      <c r="B184" s="2" t="s">
        <v>667</v>
      </c>
      <c r="C184" s="2" t="s">
        <v>262</v>
      </c>
      <c r="D184" s="2" t="s">
        <v>668</v>
      </c>
      <c r="E184" s="3" t="n">
        <v>2</v>
      </c>
      <c r="F184" s="3" t="n">
        <v>5</v>
      </c>
      <c r="G184" s="2" t="s">
        <v>17</v>
      </c>
      <c r="H184" s="2" t="s">
        <v>669</v>
      </c>
      <c r="I184" s="2" t="s">
        <v>19</v>
      </c>
      <c r="J184" s="2" t="s">
        <v>670</v>
      </c>
      <c r="K184" s="3" t="n">
        <f aca="true">IFERROR(DATEDIF(DATEVALUE(A184),TODAY(),"d"),"")</f>
        <v>6</v>
      </c>
      <c r="L184" s="2" t="str">
        <f aca="false">IF(OR(E184="",H184="",H184="anotado sin numero"),"Sin info, no aplica",IF(I184="no","Cerrado, no volver a tocar",IF(I184="vendido","Cliente, no prospectar",IF(I184="respondio","Atender la conversacion hoy",IF(I184="enviado",IF(K184&gt;=1,"Mandar seguimiento (24-48h)","Esperar respuesta"),"Enviar primer mensaje")))))</f>
        <v>Enviar primer mensaje</v>
      </c>
      <c r="M184" s="4" t="str">
        <f aca="true">IF(OR(L184="Sin info, no aplica",L184="Cerrado, no volver a tocar",L184="Cliente, no prospectar"),"",IF(I184="enviado",DATEVALUE(A184)+2,IF(I184="respondio",TODAY(),"")))</f>
        <v/>
      </c>
    </row>
    <row r="185" customFormat="false" ht="15" hidden="false" customHeight="false" outlineLevel="0" collapsed="false">
      <c r="A185" s="2" t="s">
        <v>580</v>
      </c>
      <c r="B185" s="2" t="s">
        <v>671</v>
      </c>
      <c r="C185" s="2" t="s">
        <v>508</v>
      </c>
      <c r="D185" s="2" t="s">
        <v>404</v>
      </c>
      <c r="E185" s="3" t="n">
        <v>3</v>
      </c>
      <c r="F185" s="3" t="n">
        <v>5</v>
      </c>
      <c r="G185" s="2" t="s">
        <v>17</v>
      </c>
      <c r="H185" s="2" t="s">
        <v>672</v>
      </c>
      <c r="I185" s="2" t="s">
        <v>19</v>
      </c>
      <c r="J185" s="2" t="s">
        <v>673</v>
      </c>
      <c r="K185" s="3" t="n">
        <f aca="true">IFERROR(DATEDIF(DATEVALUE(A185),TODAY(),"d"),"")</f>
        <v>6</v>
      </c>
      <c r="L185" s="2" t="str">
        <f aca="false">IF(OR(E185="",H185="",H185="anotado sin numero"),"Sin info, no aplica",IF(I185="no","Cerrado, no volver a tocar",IF(I185="vendido","Cliente, no prospectar",IF(I185="respondio","Atender la conversacion hoy",IF(I185="enviado",IF(K185&gt;=1,"Mandar seguimiento (24-48h)","Esperar respuesta"),"Enviar primer mensaje")))))</f>
        <v>Enviar primer mensaje</v>
      </c>
      <c r="M185" s="4" t="str">
        <f aca="true">IF(OR(L185="Sin info, no aplica",L185="Cerrado, no volver a tocar",L185="Cliente, no prospectar"),"",IF(I185="enviado",DATEVALUE(A185)+2,IF(I185="respondio",TODAY(),"")))</f>
        <v/>
      </c>
    </row>
    <row r="186" customFormat="false" ht="15" hidden="false" customHeight="false" outlineLevel="0" collapsed="false">
      <c r="A186" s="2" t="s">
        <v>580</v>
      </c>
      <c r="B186" s="2" t="s">
        <v>674</v>
      </c>
      <c r="C186" s="2" t="s">
        <v>508</v>
      </c>
      <c r="D186" s="2" t="s">
        <v>675</v>
      </c>
      <c r="E186" s="3" t="n">
        <v>1</v>
      </c>
      <c r="F186" s="3" t="n">
        <v>5</v>
      </c>
      <c r="G186" s="2" t="s">
        <v>17</v>
      </c>
      <c r="H186" s="2" t="s">
        <v>676</v>
      </c>
      <c r="I186" s="2" t="s">
        <v>19</v>
      </c>
      <c r="J186" s="2" t="s">
        <v>673</v>
      </c>
      <c r="K186" s="3" t="n">
        <f aca="true">IFERROR(DATEDIF(DATEVALUE(A186),TODAY(),"d"),"")</f>
        <v>6</v>
      </c>
      <c r="L186" s="2" t="str">
        <f aca="false">IF(OR(E186="",H186="",H186="anotado sin numero"),"Sin info, no aplica",IF(I186="no","Cerrado, no volver a tocar",IF(I186="vendido","Cliente, no prospectar",IF(I186="respondio","Atender la conversacion hoy",IF(I186="enviado",IF(K186&gt;=1,"Mandar seguimiento (24-48h)","Esperar respuesta"),"Enviar primer mensaje")))))</f>
        <v>Enviar primer mensaje</v>
      </c>
      <c r="M186" s="4" t="str">
        <f aca="true">IF(OR(L186="Sin info, no aplica",L186="Cerrado, no volver a tocar",L186="Cliente, no prospectar"),"",IF(I186="enviado",DATEVALUE(A186)+2,IF(I186="respondio",TODAY(),"")))</f>
        <v/>
      </c>
    </row>
    <row r="187" customFormat="false" ht="15" hidden="false" customHeight="false" outlineLevel="0" collapsed="false">
      <c r="A187" s="2" t="s">
        <v>580</v>
      </c>
      <c r="B187" s="2" t="s">
        <v>677</v>
      </c>
      <c r="C187" s="2" t="s">
        <v>508</v>
      </c>
      <c r="D187" s="2" t="s">
        <v>504</v>
      </c>
      <c r="E187" s="3" t="n">
        <v>1</v>
      </c>
      <c r="F187" s="3" t="n">
        <v>5</v>
      </c>
      <c r="G187" s="2" t="s">
        <v>17</v>
      </c>
      <c r="H187" s="2" t="s">
        <v>678</v>
      </c>
      <c r="I187" s="2" t="s">
        <v>19</v>
      </c>
      <c r="J187" s="2" t="s">
        <v>673</v>
      </c>
      <c r="K187" s="3" t="n">
        <f aca="true">IFERROR(DATEDIF(DATEVALUE(A187),TODAY(),"d"),"")</f>
        <v>6</v>
      </c>
      <c r="L187" s="2" t="str">
        <f aca="false">IF(OR(E187="",H187="",H187="anotado sin numero"),"Sin info, no aplica",IF(I187="no","Cerrado, no volver a tocar",IF(I187="vendido","Cliente, no prospectar",IF(I187="respondio","Atender la conversacion hoy",IF(I187="enviado",IF(K187&gt;=1,"Mandar seguimiento (24-48h)","Esperar respuesta"),"Enviar primer mensaje")))))</f>
        <v>Enviar primer mensaje</v>
      </c>
      <c r="M187" s="4" t="str">
        <f aca="true">IF(OR(L187="Sin info, no aplica",L187="Cerrado, no volver a tocar",L187="Cliente, no prospectar"),"",IF(I187="enviado",DATEVALUE(A187)+2,IF(I187="respondio",TODAY(),"")))</f>
        <v/>
      </c>
    </row>
    <row r="188" customFormat="false" ht="15" hidden="false" customHeight="false" outlineLevel="0" collapsed="false">
      <c r="A188" s="2" t="s">
        <v>580</v>
      </c>
      <c r="B188" s="2" t="s">
        <v>679</v>
      </c>
      <c r="C188" s="2" t="s">
        <v>508</v>
      </c>
      <c r="D188" s="2" t="s">
        <v>186</v>
      </c>
      <c r="E188" s="3" t="n">
        <v>2</v>
      </c>
      <c r="F188" s="3" t="n">
        <v>5</v>
      </c>
      <c r="G188" s="2" t="s">
        <v>17</v>
      </c>
      <c r="H188" s="2" t="s">
        <v>680</v>
      </c>
      <c r="I188" s="2" t="s">
        <v>19</v>
      </c>
      <c r="J188" s="2" t="s">
        <v>681</v>
      </c>
      <c r="K188" s="3" t="n">
        <f aca="true">IFERROR(DATEDIF(DATEVALUE(A188),TODAY(),"d"),"")</f>
        <v>6</v>
      </c>
      <c r="L188" s="2" t="str">
        <f aca="false">IF(OR(E188="",H188="",H188="anotado sin numero"),"Sin info, no aplica",IF(I188="no","Cerrado, no volver a tocar",IF(I188="vendido","Cliente, no prospectar",IF(I188="respondio","Atender la conversacion hoy",IF(I188="enviado",IF(K188&gt;=1,"Mandar seguimiento (24-48h)","Esperar respuesta"),"Enviar primer mensaje")))))</f>
        <v>Enviar primer mensaje</v>
      </c>
      <c r="M188" s="4" t="str">
        <f aca="true">IF(OR(L188="Sin info, no aplica",L188="Cerrado, no volver a tocar",L188="Cliente, no prospectar"),"",IF(I188="enviado",DATEVALUE(A188)+2,IF(I188="respondio",TODAY(),"")))</f>
        <v/>
      </c>
    </row>
    <row r="189" customFormat="false" ht="15" hidden="false" customHeight="false" outlineLevel="0" collapsed="false">
      <c r="A189" s="2" t="s">
        <v>580</v>
      </c>
      <c r="B189" s="2" t="s">
        <v>682</v>
      </c>
      <c r="C189" s="2" t="s">
        <v>508</v>
      </c>
      <c r="D189" s="2" t="s">
        <v>186</v>
      </c>
      <c r="E189" s="3" t="n">
        <v>2</v>
      </c>
      <c r="F189" s="3" t="n">
        <v>5</v>
      </c>
      <c r="G189" s="2" t="s">
        <v>17</v>
      </c>
      <c r="H189" s="2" t="s">
        <v>683</v>
      </c>
      <c r="I189" s="2" t="s">
        <v>19</v>
      </c>
      <c r="J189" s="2" t="s">
        <v>673</v>
      </c>
      <c r="K189" s="3" t="n">
        <f aca="true">IFERROR(DATEDIF(DATEVALUE(A189),TODAY(),"d"),"")</f>
        <v>6</v>
      </c>
      <c r="L189" s="2" t="str">
        <f aca="false">IF(OR(E189="",H189="",H189="anotado sin numero"),"Sin info, no aplica",IF(I189="no","Cerrado, no volver a tocar",IF(I189="vendido","Cliente, no prospectar",IF(I189="respondio","Atender la conversacion hoy",IF(I189="enviado",IF(K189&gt;=1,"Mandar seguimiento (24-48h)","Esperar respuesta"),"Enviar primer mensaje")))))</f>
        <v>Enviar primer mensaje</v>
      </c>
      <c r="M189" s="4" t="str">
        <f aca="true">IF(OR(L189="Sin info, no aplica",L189="Cerrado, no volver a tocar",L189="Cliente, no prospectar"),"",IF(I189="enviado",DATEVALUE(A189)+2,IF(I189="respondio",TODAY(),"")))</f>
        <v/>
      </c>
    </row>
    <row r="190" customFormat="false" ht="15" hidden="false" customHeight="false" outlineLevel="0" collapsed="false">
      <c r="A190" s="2" t="s">
        <v>580</v>
      </c>
      <c r="B190" s="2" t="s">
        <v>684</v>
      </c>
      <c r="C190" s="2" t="s">
        <v>508</v>
      </c>
      <c r="D190" s="2" t="s">
        <v>685</v>
      </c>
      <c r="E190" s="3" t="n">
        <v>1</v>
      </c>
      <c r="F190" s="3" t="n">
        <v>5</v>
      </c>
      <c r="G190" s="2" t="s">
        <v>17</v>
      </c>
      <c r="H190" s="2" t="s">
        <v>686</v>
      </c>
      <c r="I190" s="2" t="s">
        <v>19</v>
      </c>
      <c r="J190" s="2" t="s">
        <v>673</v>
      </c>
      <c r="K190" s="3" t="n">
        <f aca="true">IFERROR(DATEDIF(DATEVALUE(A190),TODAY(),"d"),"")</f>
        <v>6</v>
      </c>
      <c r="L190" s="2" t="str">
        <f aca="false">IF(OR(E190="",H190="",H190="anotado sin numero"),"Sin info, no aplica",IF(I190="no","Cerrado, no volver a tocar",IF(I190="vendido","Cliente, no prospectar",IF(I190="respondio","Atender la conversacion hoy",IF(I190="enviado",IF(K190&gt;=1,"Mandar seguimiento (24-48h)","Esperar respuesta"),"Enviar primer mensaje")))))</f>
        <v>Enviar primer mensaje</v>
      </c>
      <c r="M190" s="4" t="str">
        <f aca="true">IF(OR(L190="Sin info, no aplica",L190="Cerrado, no volver a tocar",L190="Cliente, no prospectar"),"",IF(I190="enviado",DATEVALUE(A190)+2,IF(I190="respondio",TODAY(),"")))</f>
        <v/>
      </c>
    </row>
    <row r="191" customFormat="false" ht="15" hidden="false" customHeight="false" outlineLevel="0" collapsed="false">
      <c r="A191" s="2" t="s">
        <v>580</v>
      </c>
      <c r="B191" s="2" t="s">
        <v>687</v>
      </c>
      <c r="C191" s="2" t="s">
        <v>508</v>
      </c>
      <c r="D191" s="2" t="s">
        <v>186</v>
      </c>
      <c r="E191" s="3" t="n">
        <v>1</v>
      </c>
      <c r="F191" s="3" t="n">
        <v>5</v>
      </c>
      <c r="G191" s="2" t="s">
        <v>17</v>
      </c>
      <c r="H191" s="2" t="s">
        <v>688</v>
      </c>
      <c r="I191" s="2" t="s">
        <v>19</v>
      </c>
      <c r="J191" s="2" t="s">
        <v>673</v>
      </c>
      <c r="K191" s="3" t="n">
        <f aca="true">IFERROR(DATEDIF(DATEVALUE(A191),TODAY(),"d"),"")</f>
        <v>6</v>
      </c>
      <c r="L191" s="2" t="str">
        <f aca="false">IF(OR(E191="",H191="",H191="anotado sin numero"),"Sin info, no aplica",IF(I191="no","Cerrado, no volver a tocar",IF(I191="vendido","Cliente, no prospectar",IF(I191="respondio","Atender la conversacion hoy",IF(I191="enviado",IF(K191&gt;=1,"Mandar seguimiento (24-48h)","Esperar respuesta"),"Enviar primer mensaje")))))</f>
        <v>Enviar primer mensaje</v>
      </c>
      <c r="M191" s="4" t="str">
        <f aca="true">IF(OR(L191="Sin info, no aplica",L191="Cerrado, no volver a tocar",L191="Cliente, no prospectar"),"",IF(I191="enviado",DATEVALUE(A191)+2,IF(I191="respondio",TODAY(),"")))</f>
        <v/>
      </c>
    </row>
    <row r="192" customFormat="false" ht="15" hidden="false" customHeight="false" outlineLevel="0" collapsed="false">
      <c r="A192" s="2" t="s">
        <v>580</v>
      </c>
      <c r="B192" s="2" t="s">
        <v>689</v>
      </c>
      <c r="C192" s="2" t="s">
        <v>508</v>
      </c>
      <c r="D192" s="2" t="s">
        <v>690</v>
      </c>
      <c r="E192" s="3" t="n">
        <v>0</v>
      </c>
      <c r="F192" s="3"/>
      <c r="G192" s="2" t="s">
        <v>17</v>
      </c>
      <c r="H192" s="2" t="s">
        <v>691</v>
      </c>
      <c r="I192" s="2" t="s">
        <v>19</v>
      </c>
      <c r="J192" s="2" t="s">
        <v>692</v>
      </c>
      <c r="K192" s="3" t="n">
        <f aca="true">IFERROR(DATEDIF(DATEVALUE(A192),TODAY(),"d"),"")</f>
        <v>6</v>
      </c>
      <c r="L192" s="2" t="str">
        <f aca="false">IF(OR(E192="",H192="",H192="anotado sin numero"),"Sin info, no aplica",IF(I192="no","Cerrado, no volver a tocar",IF(I192="vendido","Cliente, no prospectar",IF(I192="respondio","Atender la conversacion hoy",IF(I192="enviado",IF(K192&gt;=1,"Mandar seguimiento (24-48h)","Esperar respuesta"),"Enviar primer mensaje")))))</f>
        <v>Enviar primer mensaje</v>
      </c>
      <c r="M192" s="4" t="str">
        <f aca="true">IF(OR(L192="Sin info, no aplica",L192="Cerrado, no volver a tocar",L192="Cliente, no prospectar"),"",IF(I192="enviado",DATEVALUE(A192)+2,IF(I192="respondio",TODAY(),"")))</f>
        <v/>
      </c>
    </row>
    <row r="193" customFormat="false" ht="15" hidden="false" customHeight="false" outlineLevel="0" collapsed="false">
      <c r="A193" s="2" t="s">
        <v>580</v>
      </c>
      <c r="B193" s="2" t="s">
        <v>693</v>
      </c>
      <c r="C193" s="2" t="s">
        <v>262</v>
      </c>
      <c r="D193" s="2" t="s">
        <v>694</v>
      </c>
      <c r="E193" s="3" t="n">
        <v>16</v>
      </c>
      <c r="F193" s="3" t="n">
        <v>4.3</v>
      </c>
      <c r="G193" s="2" t="s">
        <v>49</v>
      </c>
      <c r="H193" s="2" t="s">
        <v>695</v>
      </c>
      <c r="I193" s="2" t="s">
        <v>19</v>
      </c>
      <c r="J193" s="2" t="s">
        <v>696</v>
      </c>
      <c r="K193" s="3" t="n">
        <f aca="true">IFERROR(DATEDIF(DATEVALUE(A193),TODAY(),"d"),"")</f>
        <v>6</v>
      </c>
      <c r="L193" s="2" t="str">
        <f aca="false">IF(OR(E193="",H193="",H193="anotado sin numero"),"Sin info, no aplica",IF(I193="no","Cerrado, no volver a tocar",IF(I193="vendido","Cliente, no prospectar",IF(I193="respondio","Atender la conversacion hoy",IF(I193="enviado",IF(K193&gt;=1,"Mandar seguimiento (24-48h)","Esperar respuesta"),"Enviar primer mensaje")))))</f>
        <v>Enviar primer mensaje</v>
      </c>
      <c r="M193" s="4" t="str">
        <f aca="true">IF(OR(L193="Sin info, no aplica",L193="Cerrado, no volver a tocar",L193="Cliente, no prospectar"),"",IF(I193="enviado",DATEVALUE(A193)+2,IF(I193="respondio",TODAY(),"")))</f>
        <v/>
      </c>
    </row>
    <row r="194" customFormat="false" ht="15" hidden="false" customHeight="false" outlineLevel="0" collapsed="false">
      <c r="A194" s="2" t="s">
        <v>580</v>
      </c>
      <c r="B194" s="2" t="s">
        <v>697</v>
      </c>
      <c r="C194" s="2" t="s">
        <v>698</v>
      </c>
      <c r="D194" s="2" t="s">
        <v>699</v>
      </c>
      <c r="E194" s="3" t="n">
        <v>10</v>
      </c>
      <c r="F194" s="3" t="n">
        <v>4.5</v>
      </c>
      <c r="G194" s="2" t="s">
        <v>17</v>
      </c>
      <c r="H194" s="2" t="s">
        <v>700</v>
      </c>
      <c r="I194" s="2" t="s">
        <v>19</v>
      </c>
      <c r="J194" s="2" t="s">
        <v>701</v>
      </c>
      <c r="K194" s="3" t="n">
        <f aca="true">IFERROR(DATEDIF(DATEVALUE(A194),TODAY(),"d"),"")</f>
        <v>6</v>
      </c>
      <c r="L194" s="2" t="str">
        <f aca="false">IF(OR(E194="",H194="",H194="anotado sin numero"),"Sin info, no aplica",IF(I194="no","Cerrado, no volver a tocar",IF(I194="vendido","Cliente, no prospectar",IF(I194="respondio","Atender la conversacion hoy",IF(I194="enviado",IF(K194&gt;=1,"Mandar seguimiento (24-48h)","Esperar respuesta"),"Enviar primer mensaje")))))</f>
        <v>Enviar primer mensaje</v>
      </c>
      <c r="M194" s="4" t="str">
        <f aca="true">IF(OR(L194="Sin info, no aplica",L194="Cerrado, no volver a tocar",L194="Cliente, no prospectar"),"",IF(I194="enviado",DATEVALUE(A194)+2,IF(I194="respondio",TODAY(),"")))</f>
        <v/>
      </c>
    </row>
    <row r="195" customFormat="false" ht="15" hidden="false" customHeight="false" outlineLevel="0" collapsed="false">
      <c r="A195" s="2" t="s">
        <v>580</v>
      </c>
      <c r="B195" s="2" t="s">
        <v>702</v>
      </c>
      <c r="C195" s="2" t="s">
        <v>385</v>
      </c>
      <c r="D195" s="2" t="s">
        <v>703</v>
      </c>
      <c r="E195" s="3" t="n">
        <v>13</v>
      </c>
      <c r="F195" s="3" t="n">
        <v>4.5</v>
      </c>
      <c r="G195" s="2" t="s">
        <v>17</v>
      </c>
      <c r="H195" s="2" t="s">
        <v>704</v>
      </c>
      <c r="I195" s="2" t="s">
        <v>19</v>
      </c>
      <c r="J195" s="2" t="s">
        <v>705</v>
      </c>
      <c r="K195" s="3" t="n">
        <f aca="true">IFERROR(DATEDIF(DATEVALUE(A195),TODAY(),"d"),"")</f>
        <v>6</v>
      </c>
      <c r="L195" s="2" t="str">
        <f aca="false">IF(OR(E195="",H195="",H195="anotado sin numero"),"Sin info, no aplica",IF(I195="no","Cerrado, no volver a tocar",IF(I195="vendido","Cliente, no prospectar",IF(I195="respondio","Atender la conversacion hoy",IF(I195="enviado",IF(K195&gt;=1,"Mandar seguimiento (24-48h)","Esperar respuesta"),"Enviar primer mensaje")))))</f>
        <v>Enviar primer mensaje</v>
      </c>
      <c r="M195" s="4" t="str">
        <f aca="true">IF(OR(L195="Sin info, no aplica",L195="Cerrado, no volver a tocar",L195="Cliente, no prospectar"),"",IF(I195="enviado",DATEVALUE(A195)+2,IF(I195="respondio",TODAY(),"")))</f>
        <v/>
      </c>
    </row>
    <row r="196" customFormat="false" ht="15" hidden="false" customHeight="false" outlineLevel="0" collapsed="false">
      <c r="A196" s="2" t="s">
        <v>580</v>
      </c>
      <c r="B196" s="2" t="s">
        <v>706</v>
      </c>
      <c r="C196" s="2" t="s">
        <v>543</v>
      </c>
      <c r="D196" s="2" t="s">
        <v>707</v>
      </c>
      <c r="E196" s="3" t="n">
        <v>19</v>
      </c>
      <c r="F196" s="3" t="n">
        <v>5</v>
      </c>
      <c r="G196" s="2" t="s">
        <v>17</v>
      </c>
      <c r="H196" s="2" t="s">
        <v>708</v>
      </c>
      <c r="I196" s="2" t="s">
        <v>19</v>
      </c>
      <c r="J196" s="2" t="s">
        <v>709</v>
      </c>
      <c r="K196" s="3" t="n">
        <f aca="true">IFERROR(DATEDIF(DATEVALUE(A196),TODAY(),"d"),"")</f>
        <v>6</v>
      </c>
      <c r="L196" s="2" t="str">
        <f aca="false">IF(OR(E196="",H196="",H196="anotado sin numero"),"Sin info, no aplica",IF(I196="no","Cerrado, no volver a tocar",IF(I196="vendido","Cliente, no prospectar",IF(I196="respondio","Atender la conversacion hoy",IF(I196="enviado",IF(K196&gt;=1,"Mandar seguimiento (24-48h)","Esperar respuesta"),"Enviar primer mensaje")))))</f>
        <v>Enviar primer mensaje</v>
      </c>
      <c r="M196" s="4" t="str">
        <f aca="true">IF(OR(L196="Sin info, no aplica",L196="Cerrado, no volver a tocar",L196="Cliente, no prospectar"),"",IF(I196="enviado",DATEVALUE(A196)+2,IF(I196="respondio",TODAY(),"")))</f>
        <v/>
      </c>
    </row>
    <row r="197" customFormat="false" ht="15" hidden="false" customHeight="false" outlineLevel="0" collapsed="false">
      <c r="A197" s="2" t="s">
        <v>580</v>
      </c>
      <c r="B197" s="2" t="s">
        <v>710</v>
      </c>
      <c r="C197" s="2" t="s">
        <v>543</v>
      </c>
      <c r="D197" s="2" t="s">
        <v>711</v>
      </c>
      <c r="E197" s="3" t="n">
        <v>14</v>
      </c>
      <c r="F197" s="3" t="n">
        <v>5</v>
      </c>
      <c r="G197" s="2" t="s">
        <v>17</v>
      </c>
      <c r="H197" s="2" t="s">
        <v>712</v>
      </c>
      <c r="I197" s="2" t="s">
        <v>19</v>
      </c>
      <c r="J197" s="2" t="s">
        <v>713</v>
      </c>
      <c r="K197" s="3" t="n">
        <f aca="true">IFERROR(DATEDIF(DATEVALUE(A197),TODAY(),"d"),"")</f>
        <v>6</v>
      </c>
      <c r="L197" s="2" t="str">
        <f aca="false">IF(OR(E197="",H197="",H197="anotado sin numero"),"Sin info, no aplica",IF(I197="no","Cerrado, no volver a tocar",IF(I197="vendido","Cliente, no prospectar",IF(I197="respondio","Atender la conversacion hoy",IF(I197="enviado",IF(K197&gt;=1,"Mandar seguimiento (24-48h)","Esperar respuesta"),"Enviar primer mensaje")))))</f>
        <v>Enviar primer mensaje</v>
      </c>
      <c r="M197" s="4" t="str">
        <f aca="true">IF(OR(L197="Sin info, no aplica",L197="Cerrado, no volver a tocar",L197="Cliente, no prospectar"),"",IF(I197="enviado",DATEVALUE(A197)+2,IF(I197="respondio",TODAY(),"")))</f>
        <v/>
      </c>
    </row>
    <row r="198" customFormat="false" ht="15" hidden="false" customHeight="false" outlineLevel="0" collapsed="false">
      <c r="A198" s="2" t="s">
        <v>580</v>
      </c>
      <c r="B198" s="2" t="s">
        <v>714</v>
      </c>
      <c r="C198" s="2" t="s">
        <v>567</v>
      </c>
      <c r="D198" s="2" t="s">
        <v>441</v>
      </c>
      <c r="E198" s="3" t="n">
        <v>14</v>
      </c>
      <c r="F198" s="3" t="n">
        <v>5</v>
      </c>
      <c r="G198" s="2" t="s">
        <v>17</v>
      </c>
      <c r="H198" s="2" t="s">
        <v>715</v>
      </c>
      <c r="I198" s="2" t="s">
        <v>19</v>
      </c>
      <c r="J198" s="2" t="s">
        <v>716</v>
      </c>
      <c r="K198" s="3" t="n">
        <f aca="true">IFERROR(DATEDIF(DATEVALUE(A198),TODAY(),"d"),"")</f>
        <v>6</v>
      </c>
      <c r="L198" s="2" t="str">
        <f aca="false">IF(OR(E198="",H198="",H198="anotado sin numero"),"Sin info, no aplica",IF(I198="no","Cerrado, no volver a tocar",IF(I198="vendido","Cliente, no prospectar",IF(I198="respondio","Atender la conversacion hoy",IF(I198="enviado",IF(K198&gt;=1,"Mandar seguimiento (24-48h)","Esperar respuesta"),"Enviar primer mensaje")))))</f>
        <v>Enviar primer mensaje</v>
      </c>
      <c r="M198" s="4" t="str">
        <f aca="true">IF(OR(L198="Sin info, no aplica",L198="Cerrado, no volver a tocar",L198="Cliente, no prospectar"),"",IF(I198="enviado",DATEVALUE(A198)+2,IF(I198="respondio",TODAY(),"")))</f>
        <v/>
      </c>
    </row>
    <row r="199" customFormat="false" ht="15" hidden="false" customHeight="false" outlineLevel="0" collapsed="false">
      <c r="A199" s="2" t="s">
        <v>580</v>
      </c>
      <c r="B199" s="2" t="s">
        <v>717</v>
      </c>
      <c r="C199" s="2" t="s">
        <v>718</v>
      </c>
      <c r="D199" s="2" t="s">
        <v>719</v>
      </c>
      <c r="E199" s="3" t="n">
        <v>23</v>
      </c>
      <c r="F199" s="3" t="n">
        <v>5</v>
      </c>
      <c r="G199" s="2" t="s">
        <v>17</v>
      </c>
      <c r="H199" s="2" t="s">
        <v>720</v>
      </c>
      <c r="I199" s="2" t="s">
        <v>19</v>
      </c>
      <c r="J199" s="2" t="s">
        <v>716</v>
      </c>
      <c r="K199" s="3" t="n">
        <f aca="true">IFERROR(DATEDIF(DATEVALUE(A199),TODAY(),"d"),"")</f>
        <v>6</v>
      </c>
      <c r="L199" s="2" t="str">
        <f aca="false">IF(OR(E199="",H199="",H199="anotado sin numero"),"Sin info, no aplica",IF(I199="no","Cerrado, no volver a tocar",IF(I199="vendido","Cliente, no prospectar",IF(I199="respondio","Atender la conversacion hoy",IF(I199="enviado",IF(K199&gt;=1,"Mandar seguimiento (24-48h)","Esperar respuesta"),"Enviar primer mensaje")))))</f>
        <v>Enviar primer mensaje</v>
      </c>
      <c r="M199" s="4" t="str">
        <f aca="true">IF(OR(L199="Sin info, no aplica",L199="Cerrado, no volver a tocar",L199="Cliente, no prospectar"),"",IF(I199="enviado",DATEVALUE(A199)+2,IF(I199="respondio",TODAY(),"")))</f>
        <v/>
      </c>
    </row>
    <row r="200" customFormat="false" ht="15" hidden="false" customHeight="false" outlineLevel="0" collapsed="false">
      <c r="A200" s="2" t="s">
        <v>580</v>
      </c>
      <c r="B200" s="2" t="s">
        <v>721</v>
      </c>
      <c r="C200" s="2" t="s">
        <v>722</v>
      </c>
      <c r="D200" s="2" t="s">
        <v>723</v>
      </c>
      <c r="E200" s="3" t="n">
        <v>2</v>
      </c>
      <c r="F200" s="3" t="n">
        <v>5</v>
      </c>
      <c r="G200" s="2" t="s">
        <v>17</v>
      </c>
      <c r="H200" s="2" t="s">
        <v>724</v>
      </c>
      <c r="I200" s="2" t="s">
        <v>19</v>
      </c>
      <c r="J200" s="2" t="s">
        <v>716</v>
      </c>
      <c r="K200" s="3" t="n">
        <f aca="true">IFERROR(DATEDIF(DATEVALUE(A200),TODAY(),"d"),"")</f>
        <v>6</v>
      </c>
      <c r="L200" s="2" t="str">
        <f aca="false">IF(OR(E200="",H200="",H200="anotado sin numero"),"Sin info, no aplica",IF(I200="no","Cerrado, no volver a tocar",IF(I200="vendido","Cliente, no prospectar",IF(I200="respondio","Atender la conversacion hoy",IF(I200="enviado",IF(K200&gt;=1,"Mandar seguimiento (24-48h)","Esperar respuesta"),"Enviar primer mensaje")))))</f>
        <v>Enviar primer mensaje</v>
      </c>
      <c r="M200" s="4" t="str">
        <f aca="true">IF(OR(L200="Sin info, no aplica",L200="Cerrado, no volver a tocar",L200="Cliente, no prospectar"),"",IF(I200="enviado",DATEVALUE(A200)+2,IF(I200="respondio",TODAY(),"")))</f>
        <v/>
      </c>
    </row>
    <row r="201" customFormat="false" ht="15" hidden="false" customHeight="false" outlineLevel="0" collapsed="false">
      <c r="A201" s="2" t="s">
        <v>580</v>
      </c>
      <c r="B201" s="2" t="s">
        <v>725</v>
      </c>
      <c r="C201" s="2" t="s">
        <v>726</v>
      </c>
      <c r="D201" s="2" t="s">
        <v>727</v>
      </c>
      <c r="E201" s="3" t="n">
        <v>20</v>
      </c>
      <c r="F201" s="3" t="n">
        <v>4.4</v>
      </c>
      <c r="G201" s="2" t="s">
        <v>17</v>
      </c>
      <c r="H201" s="2" t="s">
        <v>728</v>
      </c>
      <c r="I201" s="2" t="s">
        <v>19</v>
      </c>
      <c r="J201" s="2" t="s">
        <v>729</v>
      </c>
      <c r="K201" s="3" t="n">
        <f aca="true">IFERROR(DATEDIF(DATEVALUE(A201),TODAY(),"d"),"")</f>
        <v>6</v>
      </c>
      <c r="L201" s="2" t="str">
        <f aca="false">IF(OR(E201="",H201="",H201="anotado sin numero"),"Sin info, no aplica",IF(I201="no","Cerrado, no volver a tocar",IF(I201="vendido","Cliente, no prospectar",IF(I201="respondio","Atender la conversacion hoy",IF(I201="enviado",IF(K201&gt;=1,"Mandar seguimiento (24-48h)","Esperar respuesta"),"Enviar primer mensaje")))))</f>
        <v>Enviar primer mensaje</v>
      </c>
      <c r="M201" s="4" t="str">
        <f aca="true">IF(OR(L201="Sin info, no aplica",L201="Cerrado, no volver a tocar",L201="Cliente, no prospectar"),"",IF(I201="enviado",DATEVALUE(A201)+2,IF(I201="respondio",TODAY(),"")))</f>
        <v/>
      </c>
    </row>
    <row r="202" customFormat="false" ht="15" hidden="false" customHeight="false" outlineLevel="0" collapsed="false">
      <c r="A202" s="2" t="s">
        <v>580</v>
      </c>
      <c r="B202" s="2" t="s">
        <v>730</v>
      </c>
      <c r="C202" s="2" t="s">
        <v>731</v>
      </c>
      <c r="D202" s="2" t="s">
        <v>732</v>
      </c>
      <c r="E202" s="3" t="n">
        <v>0</v>
      </c>
      <c r="F202" s="3"/>
      <c r="G202" s="2" t="s">
        <v>17</v>
      </c>
      <c r="H202" s="2" t="s">
        <v>733</v>
      </c>
      <c r="I202" s="2" t="s">
        <v>19</v>
      </c>
      <c r="J202" s="2" t="s">
        <v>734</v>
      </c>
      <c r="K202" s="3" t="n">
        <f aca="true">IFERROR(DATEDIF(DATEVALUE(A202),TODAY(),"d"),"")</f>
        <v>6</v>
      </c>
      <c r="L202" s="2" t="str">
        <f aca="false">IF(OR(E202="",H202="",H202="anotado sin numero"),"Sin info, no aplica",IF(I202="no","Cerrado, no volver a tocar",IF(I202="vendido","Cliente, no prospectar",IF(I202="respondio","Atender la conversacion hoy",IF(I202="enviado",IF(K202&gt;=1,"Mandar seguimiento (24-48h)","Esperar respuesta"),"Enviar primer mensaje")))))</f>
        <v>Enviar primer mensaje</v>
      </c>
      <c r="M202" s="4" t="str">
        <f aca="true">IF(OR(L202="Sin info, no aplica",L202="Cerrado, no volver a tocar",L202="Cliente, no prospectar"),"",IF(I202="enviado",DATEVALUE(A202)+2,IF(I202="respondio",TODAY(),"")))</f>
        <v/>
      </c>
    </row>
    <row r="203" customFormat="false" ht="15" hidden="false" customHeight="false" outlineLevel="0" collapsed="false">
      <c r="A203" s="2" t="s">
        <v>580</v>
      </c>
      <c r="B203" s="2" t="s">
        <v>735</v>
      </c>
      <c r="C203" s="2" t="s">
        <v>736</v>
      </c>
      <c r="D203" s="2" t="s">
        <v>737</v>
      </c>
      <c r="E203" s="3" t="n">
        <v>0</v>
      </c>
      <c r="F203" s="3"/>
      <c r="G203" s="2" t="s">
        <v>17</v>
      </c>
      <c r="H203" s="2" t="s">
        <v>738</v>
      </c>
      <c r="I203" s="2" t="s">
        <v>19</v>
      </c>
      <c r="J203" s="2" t="s">
        <v>739</v>
      </c>
      <c r="K203" s="3" t="n">
        <f aca="true">IFERROR(DATEDIF(DATEVALUE(A203),TODAY(),"d"),"")</f>
        <v>6</v>
      </c>
      <c r="L203" s="2" t="str">
        <f aca="false">IF(OR(E203="",H203="",H203="anotado sin numero"),"Sin info, no aplica",IF(I203="no","Cerrado, no volver a tocar",IF(I203="vendido","Cliente, no prospectar",IF(I203="respondio","Atender la conversacion hoy",IF(I203="enviado",IF(K203&gt;=1,"Mandar seguimiento (24-48h)","Esperar respuesta"),"Enviar primer mensaje")))))</f>
        <v>Enviar primer mensaje</v>
      </c>
      <c r="M203" s="4" t="str">
        <f aca="true">IF(OR(L203="Sin info, no aplica",L203="Cerrado, no volver a tocar",L203="Cliente, no prospectar"),"",IF(I203="enviado",DATEVALUE(A203)+2,IF(I203="respondio",TODAY(),"")))</f>
        <v/>
      </c>
    </row>
    <row r="204" customFormat="false" ht="15" hidden="false" customHeight="false" outlineLevel="0" collapsed="false">
      <c r="A204" s="2" t="s">
        <v>580</v>
      </c>
      <c r="B204" s="2" t="s">
        <v>740</v>
      </c>
      <c r="C204" s="2" t="s">
        <v>385</v>
      </c>
      <c r="D204" s="2" t="s">
        <v>186</v>
      </c>
      <c r="E204" s="3" t="n">
        <v>2</v>
      </c>
      <c r="F204" s="3" t="n">
        <v>5</v>
      </c>
      <c r="G204" s="2" t="s">
        <v>49</v>
      </c>
      <c r="H204" s="2" t="s">
        <v>741</v>
      </c>
      <c r="I204" s="2" t="s">
        <v>19</v>
      </c>
      <c r="J204" s="2" t="s">
        <v>742</v>
      </c>
      <c r="K204" s="3" t="n">
        <f aca="true">IFERROR(DATEDIF(DATEVALUE(A204),TODAY(),"d"),"")</f>
        <v>6</v>
      </c>
      <c r="L204" s="2" t="str">
        <f aca="false">IF(OR(E204="",H204="",H204="anotado sin numero"),"Sin info, no aplica",IF(I204="no","Cerrado, no volver a tocar",IF(I204="vendido","Cliente, no prospectar",IF(I204="respondio","Atender la conversacion hoy",IF(I204="enviado",IF(K204&gt;=1,"Mandar seguimiento (24-48h)","Esperar respuesta"),"Enviar primer mensaje")))))</f>
        <v>Enviar primer mensaje</v>
      </c>
      <c r="M204" s="4" t="str">
        <f aca="true">IF(OR(L204="Sin info, no aplica",L204="Cerrado, no volver a tocar",L204="Cliente, no prospectar"),"",IF(I204="enviado",DATEVALUE(A204)+2,IF(I204="respondio",TODAY(),"")))</f>
        <v/>
      </c>
    </row>
    <row r="205" customFormat="false" ht="15" hidden="false" customHeight="false" outlineLevel="0" collapsed="false">
      <c r="A205" s="2" t="s">
        <v>580</v>
      </c>
      <c r="B205" s="2" t="s">
        <v>743</v>
      </c>
      <c r="C205" s="2" t="s">
        <v>385</v>
      </c>
      <c r="D205" s="2" t="s">
        <v>744</v>
      </c>
      <c r="E205" s="3" t="n">
        <v>1</v>
      </c>
      <c r="F205" s="3" t="n">
        <v>5</v>
      </c>
      <c r="G205" s="2" t="s">
        <v>49</v>
      </c>
      <c r="H205" s="2" t="s">
        <v>745</v>
      </c>
      <c r="I205" s="2" t="s">
        <v>19</v>
      </c>
      <c r="J205" s="2" t="s">
        <v>742</v>
      </c>
      <c r="K205" s="3" t="n">
        <f aca="true">IFERROR(DATEDIF(DATEVALUE(A205),TODAY(),"d"),"")</f>
        <v>6</v>
      </c>
      <c r="L205" s="2" t="str">
        <f aca="false">IF(OR(E205="",H205="",H205="anotado sin numero"),"Sin info, no aplica",IF(I205="no","Cerrado, no volver a tocar",IF(I205="vendido","Cliente, no prospectar",IF(I205="respondio","Atender la conversacion hoy",IF(I205="enviado",IF(K205&gt;=1,"Mandar seguimiento (24-48h)","Esperar respuesta"),"Enviar primer mensaje")))))</f>
        <v>Enviar primer mensaje</v>
      </c>
      <c r="M205" s="4" t="str">
        <f aca="true">IF(OR(L205="Sin info, no aplica",L205="Cerrado, no volver a tocar",L205="Cliente, no prospectar"),"",IF(I205="enviado",DATEVALUE(A205)+2,IF(I205="respondio",TODAY(),"")))</f>
        <v/>
      </c>
    </row>
    <row r="206" customFormat="false" ht="15" hidden="false" customHeight="false" outlineLevel="0" collapsed="false">
      <c r="A206" s="2" t="s">
        <v>580</v>
      </c>
      <c r="B206" s="2" t="s">
        <v>746</v>
      </c>
      <c r="C206" s="2" t="s">
        <v>385</v>
      </c>
      <c r="D206" s="2" t="s">
        <v>404</v>
      </c>
      <c r="E206" s="3" t="n">
        <v>1</v>
      </c>
      <c r="F206" s="3" t="n">
        <v>5</v>
      </c>
      <c r="G206" s="2" t="s">
        <v>49</v>
      </c>
      <c r="H206" s="2" t="s">
        <v>747</v>
      </c>
      <c r="I206" s="2" t="s">
        <v>19</v>
      </c>
      <c r="J206" s="2" t="s">
        <v>742</v>
      </c>
      <c r="K206" s="3" t="n">
        <f aca="true">IFERROR(DATEDIF(DATEVALUE(A206),TODAY(),"d"),"")</f>
        <v>6</v>
      </c>
      <c r="L206" s="2" t="str">
        <f aca="false">IF(OR(E206="",H206="",H206="anotado sin numero"),"Sin info, no aplica",IF(I206="no","Cerrado, no volver a tocar",IF(I206="vendido","Cliente, no prospectar",IF(I206="respondio","Atender la conversacion hoy",IF(I206="enviado",IF(K206&gt;=1,"Mandar seguimiento (24-48h)","Esperar respuesta"),"Enviar primer mensaje")))))</f>
        <v>Enviar primer mensaje</v>
      </c>
      <c r="M206" s="4" t="str">
        <f aca="true">IF(OR(L206="Sin info, no aplica",L206="Cerrado, no volver a tocar",L206="Cliente, no prospectar"),"",IF(I206="enviado",DATEVALUE(A206)+2,IF(I206="respondio",TODAY(),"")))</f>
        <v/>
      </c>
    </row>
    <row r="207" customFormat="false" ht="15" hidden="false" customHeight="false" outlineLevel="0" collapsed="false">
      <c r="A207" s="2" t="s">
        <v>748</v>
      </c>
      <c r="B207" s="2" t="s">
        <v>749</v>
      </c>
      <c r="C207" s="2" t="s">
        <v>185</v>
      </c>
      <c r="D207" s="2" t="s">
        <v>750</v>
      </c>
      <c r="E207" s="3" t="n">
        <v>3</v>
      </c>
      <c r="F207" s="3" t="n">
        <v>5</v>
      </c>
      <c r="G207" s="2" t="s">
        <v>17</v>
      </c>
      <c r="H207" s="2" t="s">
        <v>751</v>
      </c>
      <c r="I207" s="2" t="s">
        <v>19</v>
      </c>
      <c r="J207" s="2" t="s">
        <v>752</v>
      </c>
      <c r="K207" s="3" t="n">
        <f aca="true">IFERROR(DATEDIF(DATEVALUE(A207),TODAY(),"d"),"")</f>
        <v>5</v>
      </c>
      <c r="L207" s="2" t="str">
        <f aca="false">IF(OR(E207="",H207="",H207="anotado sin numero"),"Sin info, no aplica",IF(I207="no","Cerrado, no volver a tocar",IF(I207="vendido","Cliente, no prospectar",IF(I207="respondio","Atender la conversacion hoy",IF(I207="enviado",IF(K207&gt;=1,"Mandar seguimiento (24-48h)","Esperar respuesta"),"Enviar primer mensaje")))))</f>
        <v>Enviar primer mensaje</v>
      </c>
      <c r="M207" s="4" t="str">
        <f aca="true">IF(OR(L207="Sin info, no aplica",L207="Cerrado, no volver a tocar",L207="Cliente, no prospectar"),"",IF(I207="enviado",DATEVALUE(A207)+2,IF(I207="respondio",TODAY(),"")))</f>
        <v/>
      </c>
    </row>
    <row r="208" customFormat="false" ht="15" hidden="false" customHeight="false" outlineLevel="0" collapsed="false">
      <c r="A208" s="2" t="s">
        <v>748</v>
      </c>
      <c r="B208" s="2" t="s">
        <v>753</v>
      </c>
      <c r="C208" s="2" t="s">
        <v>185</v>
      </c>
      <c r="D208" s="2" t="s">
        <v>754</v>
      </c>
      <c r="E208" s="3" t="n">
        <v>7</v>
      </c>
      <c r="F208" s="3" t="n">
        <v>5</v>
      </c>
      <c r="G208" s="2" t="s">
        <v>17</v>
      </c>
      <c r="H208" s="2" t="s">
        <v>755</v>
      </c>
      <c r="I208" s="2" t="s">
        <v>19</v>
      </c>
      <c r="J208" s="2" t="s">
        <v>752</v>
      </c>
      <c r="K208" s="3" t="n">
        <f aca="true">IFERROR(DATEDIF(DATEVALUE(A208),TODAY(),"d"),"")</f>
        <v>5</v>
      </c>
      <c r="L208" s="2" t="str">
        <f aca="false">IF(OR(E208="",H208="",H208="anotado sin numero"),"Sin info, no aplica",IF(I208="no","Cerrado, no volver a tocar",IF(I208="vendido","Cliente, no prospectar",IF(I208="respondio","Atender la conversacion hoy",IF(I208="enviado",IF(K208&gt;=1,"Mandar seguimiento (24-48h)","Esperar respuesta"),"Enviar primer mensaje")))))</f>
        <v>Enviar primer mensaje</v>
      </c>
      <c r="M208" s="4" t="str">
        <f aca="true">IF(OR(L208="Sin info, no aplica",L208="Cerrado, no volver a tocar",L208="Cliente, no prospectar"),"",IF(I208="enviado",DATEVALUE(A208)+2,IF(I208="respondio",TODAY(),"")))</f>
        <v/>
      </c>
    </row>
    <row r="209" customFormat="false" ht="15" hidden="false" customHeight="false" outlineLevel="0" collapsed="false">
      <c r="A209" s="2" t="s">
        <v>748</v>
      </c>
      <c r="B209" s="2" t="s">
        <v>756</v>
      </c>
      <c r="C209" s="2" t="s">
        <v>185</v>
      </c>
      <c r="D209" s="2" t="s">
        <v>757</v>
      </c>
      <c r="E209" s="3" t="n">
        <v>1</v>
      </c>
      <c r="F209" s="3" t="n">
        <v>5</v>
      </c>
      <c r="G209" s="2" t="s">
        <v>17</v>
      </c>
      <c r="H209" s="2" t="s">
        <v>758</v>
      </c>
      <c r="I209" s="2" t="s">
        <v>19</v>
      </c>
      <c r="J209" s="2" t="s">
        <v>759</v>
      </c>
      <c r="K209" s="3" t="n">
        <f aca="true">IFERROR(DATEDIF(DATEVALUE(A209),TODAY(),"d"),"")</f>
        <v>5</v>
      </c>
      <c r="L209" s="2" t="str">
        <f aca="false">IF(OR(E209="",H209="",H209="anotado sin numero"),"Sin info, no aplica",IF(I209="no","Cerrado, no volver a tocar",IF(I209="vendido","Cliente, no prospectar",IF(I209="respondio","Atender la conversacion hoy",IF(I209="enviado",IF(K209&gt;=1,"Mandar seguimiento (24-48h)","Esperar respuesta"),"Enviar primer mensaje")))))</f>
        <v>Enviar primer mensaje</v>
      </c>
      <c r="M209" s="4" t="str">
        <f aca="true">IF(OR(L209="Sin info, no aplica",L209="Cerrado, no volver a tocar",L209="Cliente, no prospectar"),"",IF(I209="enviado",DATEVALUE(A209)+2,IF(I209="respondio",TODAY(),"")))</f>
        <v/>
      </c>
    </row>
    <row r="210" customFormat="false" ht="15" hidden="false" customHeight="false" outlineLevel="0" collapsed="false">
      <c r="A210" s="2" t="s">
        <v>748</v>
      </c>
      <c r="B210" s="2" t="s">
        <v>760</v>
      </c>
      <c r="C210" s="2" t="s">
        <v>761</v>
      </c>
      <c r="D210" s="2" t="s">
        <v>186</v>
      </c>
      <c r="E210" s="3" t="n">
        <v>11</v>
      </c>
      <c r="F210" s="3" t="n">
        <v>4.9</v>
      </c>
      <c r="G210" s="2" t="s">
        <v>17</v>
      </c>
      <c r="H210" s="2" t="s">
        <v>762</v>
      </c>
      <c r="I210" s="2" t="s">
        <v>19</v>
      </c>
      <c r="J210" s="2" t="s">
        <v>759</v>
      </c>
      <c r="K210" s="3" t="n">
        <f aca="true">IFERROR(DATEDIF(DATEVALUE(A210),TODAY(),"d"),"")</f>
        <v>5</v>
      </c>
      <c r="L210" s="2" t="str">
        <f aca="false">IF(OR(E210="",H210="",H210="anotado sin numero"),"Sin info, no aplica",IF(I210="no","Cerrado, no volver a tocar",IF(I210="vendido","Cliente, no prospectar",IF(I210="respondio","Atender la conversacion hoy",IF(I210="enviado",IF(K210&gt;=1,"Mandar seguimiento (24-48h)","Esperar respuesta"),"Enviar primer mensaje")))))</f>
        <v>Enviar primer mensaje</v>
      </c>
      <c r="M210" s="4" t="str">
        <f aca="true">IF(OR(L210="Sin info, no aplica",L210="Cerrado, no volver a tocar",L210="Cliente, no prospectar"),"",IF(I210="enviado",DATEVALUE(A210)+2,IF(I210="respondio",TODAY(),"")))</f>
        <v/>
      </c>
    </row>
    <row r="211" customFormat="false" ht="15" hidden="false" customHeight="false" outlineLevel="0" collapsed="false">
      <c r="A211" s="2" t="s">
        <v>748</v>
      </c>
      <c r="B211" s="2" t="s">
        <v>763</v>
      </c>
      <c r="C211" s="2" t="s">
        <v>764</v>
      </c>
      <c r="D211" s="2" t="s">
        <v>186</v>
      </c>
      <c r="E211" s="3" t="n">
        <v>13</v>
      </c>
      <c r="F211" s="3" t="n">
        <v>4.5</v>
      </c>
      <c r="G211" s="2" t="s">
        <v>17</v>
      </c>
      <c r="H211" s="2" t="s">
        <v>765</v>
      </c>
      <c r="I211" s="2" t="s">
        <v>19</v>
      </c>
      <c r="J211" s="2" t="s">
        <v>766</v>
      </c>
      <c r="K211" s="3" t="n">
        <f aca="true">IFERROR(DATEDIF(DATEVALUE(A211),TODAY(),"d"),"")</f>
        <v>5</v>
      </c>
      <c r="L211" s="2" t="str">
        <f aca="false">IF(OR(E211="",H211="",H211="anotado sin numero"),"Sin info, no aplica",IF(I211="no","Cerrado, no volver a tocar",IF(I211="vendido","Cliente, no prospectar",IF(I211="respondio","Atender la conversacion hoy",IF(I211="enviado",IF(K211&gt;=1,"Mandar seguimiento (24-48h)","Esperar respuesta"),"Enviar primer mensaje")))))</f>
        <v>Enviar primer mensaje</v>
      </c>
      <c r="M211" s="4" t="str">
        <f aca="true">IF(OR(L211="Sin info, no aplica",L211="Cerrado, no volver a tocar",L211="Cliente, no prospectar"),"",IF(I211="enviado",DATEVALUE(A211)+2,IF(I211="respondio",TODAY(),"")))</f>
        <v/>
      </c>
    </row>
    <row r="212" customFormat="false" ht="15" hidden="false" customHeight="false" outlineLevel="0" collapsed="false">
      <c r="A212" s="2" t="s">
        <v>748</v>
      </c>
      <c r="B212" s="2" t="s">
        <v>767</v>
      </c>
      <c r="C212" s="2" t="s">
        <v>287</v>
      </c>
      <c r="D212" s="2" t="s">
        <v>685</v>
      </c>
      <c r="E212" s="3" t="n">
        <v>13</v>
      </c>
      <c r="F212" s="3" t="n">
        <v>5</v>
      </c>
      <c r="G212" s="2" t="s">
        <v>17</v>
      </c>
      <c r="H212" s="2" t="s">
        <v>768</v>
      </c>
      <c r="I212" s="2" t="s">
        <v>19</v>
      </c>
      <c r="J212" s="2" t="s">
        <v>769</v>
      </c>
      <c r="K212" s="3" t="n">
        <f aca="true">IFERROR(DATEDIF(DATEVALUE(A212),TODAY(),"d"),"")</f>
        <v>5</v>
      </c>
      <c r="L212" s="2" t="str">
        <f aca="false">IF(OR(E212="",H212="",H212="anotado sin numero"),"Sin info, no aplica",IF(I212="no","Cerrado, no volver a tocar",IF(I212="vendido","Cliente, no prospectar",IF(I212="respondio","Atender la conversacion hoy",IF(I212="enviado",IF(K212&gt;=1,"Mandar seguimiento (24-48h)","Esperar respuesta"),"Enviar primer mensaje")))))</f>
        <v>Enviar primer mensaje</v>
      </c>
      <c r="M212" s="4" t="str">
        <f aca="true">IF(OR(L212="Sin info, no aplica",L212="Cerrado, no volver a tocar",L212="Cliente, no prospectar"),"",IF(I212="enviado",DATEVALUE(A212)+2,IF(I212="respondio",TODAY(),"")))</f>
        <v/>
      </c>
    </row>
    <row r="213" customFormat="false" ht="15" hidden="false" customHeight="false" outlineLevel="0" collapsed="false">
      <c r="A213" s="2" t="s">
        <v>748</v>
      </c>
      <c r="B213" s="2" t="s">
        <v>770</v>
      </c>
      <c r="C213" s="2" t="s">
        <v>771</v>
      </c>
      <c r="D213" s="2" t="s">
        <v>186</v>
      </c>
      <c r="E213" s="3" t="n">
        <v>10</v>
      </c>
      <c r="F213" s="3" t="n">
        <v>4.5</v>
      </c>
      <c r="G213" s="2" t="s">
        <v>17</v>
      </c>
      <c r="H213" s="2" t="s">
        <v>772</v>
      </c>
      <c r="I213" s="2" t="s">
        <v>19</v>
      </c>
      <c r="J213" s="2" t="s">
        <v>773</v>
      </c>
      <c r="K213" s="3" t="n">
        <f aca="true">IFERROR(DATEDIF(DATEVALUE(A213),TODAY(),"d"),"")</f>
        <v>5</v>
      </c>
      <c r="L213" s="2" t="str">
        <f aca="false">IF(OR(E213="",H213="",H213="anotado sin numero"),"Sin info, no aplica",IF(I213="no","Cerrado, no volver a tocar",IF(I213="vendido","Cliente, no prospectar",IF(I213="respondio","Atender la conversacion hoy",IF(I213="enviado",IF(K213&gt;=1,"Mandar seguimiento (24-48h)","Esperar respuesta"),"Enviar primer mensaje")))))</f>
        <v>Enviar primer mensaje</v>
      </c>
      <c r="M213" s="4" t="str">
        <f aca="true">IF(OR(L213="Sin info, no aplica",L213="Cerrado, no volver a tocar",L213="Cliente, no prospectar"),"",IF(I213="enviado",DATEVALUE(A213)+2,IF(I213="respondio",TODAY(),"")))</f>
        <v/>
      </c>
    </row>
    <row r="214" customFormat="false" ht="15" hidden="false" customHeight="false" outlineLevel="0" collapsed="false">
      <c r="A214" s="2" t="s">
        <v>748</v>
      </c>
      <c r="B214" s="2" t="s">
        <v>774</v>
      </c>
      <c r="C214" s="2" t="s">
        <v>185</v>
      </c>
      <c r="D214" s="2" t="s">
        <v>775</v>
      </c>
      <c r="E214" s="3" t="n">
        <v>1</v>
      </c>
      <c r="F214" s="3" t="n">
        <v>5</v>
      </c>
      <c r="G214" s="2" t="s">
        <v>17</v>
      </c>
      <c r="H214" s="2" t="s">
        <v>776</v>
      </c>
      <c r="I214" s="2" t="s">
        <v>19</v>
      </c>
      <c r="J214" s="2" t="s">
        <v>773</v>
      </c>
      <c r="K214" s="3" t="n">
        <f aca="true">IFERROR(DATEDIF(DATEVALUE(A214),TODAY(),"d"),"")</f>
        <v>5</v>
      </c>
      <c r="L214" s="2" t="str">
        <f aca="false">IF(OR(E214="",H214="",H214="anotado sin numero"),"Sin info, no aplica",IF(I214="no","Cerrado, no volver a tocar",IF(I214="vendido","Cliente, no prospectar",IF(I214="respondio","Atender la conversacion hoy",IF(I214="enviado",IF(K214&gt;=1,"Mandar seguimiento (24-48h)","Esperar respuesta"),"Enviar primer mensaje")))))</f>
        <v>Enviar primer mensaje</v>
      </c>
      <c r="M214" s="4" t="str">
        <f aca="true">IF(OR(L214="Sin info, no aplica",L214="Cerrado, no volver a tocar",L214="Cliente, no prospectar"),"",IF(I214="enviado",DATEVALUE(A214)+2,IF(I214="respondio",TODAY(),"")))</f>
        <v/>
      </c>
    </row>
    <row r="215" customFormat="false" ht="15" hidden="false" customHeight="false" outlineLevel="0" collapsed="false">
      <c r="A215" s="2" t="s">
        <v>748</v>
      </c>
      <c r="B215" s="2" t="s">
        <v>777</v>
      </c>
      <c r="C215" s="2" t="s">
        <v>190</v>
      </c>
      <c r="D215" s="2" t="s">
        <v>186</v>
      </c>
      <c r="E215" s="3" t="n">
        <v>1</v>
      </c>
      <c r="F215" s="3" t="n">
        <v>5</v>
      </c>
      <c r="G215" s="2" t="s">
        <v>17</v>
      </c>
      <c r="H215" s="2" t="s">
        <v>778</v>
      </c>
      <c r="I215" s="2" t="s">
        <v>19</v>
      </c>
      <c r="J215" s="2" t="s">
        <v>773</v>
      </c>
      <c r="K215" s="3" t="n">
        <f aca="true">IFERROR(DATEDIF(DATEVALUE(A215),TODAY(),"d"),"")</f>
        <v>5</v>
      </c>
      <c r="L215" s="2" t="str">
        <f aca="false">IF(OR(E215="",H215="",H215="anotado sin numero"),"Sin info, no aplica",IF(I215="no","Cerrado, no volver a tocar",IF(I215="vendido","Cliente, no prospectar",IF(I215="respondio","Atender la conversacion hoy",IF(I215="enviado",IF(K215&gt;=1,"Mandar seguimiento (24-48h)","Esperar respuesta"),"Enviar primer mensaje")))))</f>
        <v>Enviar primer mensaje</v>
      </c>
      <c r="M215" s="4" t="str">
        <f aca="true">IF(OR(L215="Sin info, no aplica",L215="Cerrado, no volver a tocar",L215="Cliente, no prospectar"),"",IF(I215="enviado",DATEVALUE(A215)+2,IF(I215="respondio",TODAY(),"")))</f>
        <v/>
      </c>
    </row>
    <row r="216" customFormat="false" ht="15" hidden="false" customHeight="false" outlineLevel="0" collapsed="false">
      <c r="A216" s="2" t="s">
        <v>748</v>
      </c>
      <c r="B216" s="2" t="s">
        <v>779</v>
      </c>
      <c r="C216" s="2" t="s">
        <v>780</v>
      </c>
      <c r="D216" s="2" t="s">
        <v>186</v>
      </c>
      <c r="E216" s="3" t="n">
        <v>5</v>
      </c>
      <c r="F216" s="3" t="n">
        <v>5</v>
      </c>
      <c r="G216" s="2" t="s">
        <v>17</v>
      </c>
      <c r="H216" s="2" t="s">
        <v>781</v>
      </c>
      <c r="I216" s="2" t="s">
        <v>19</v>
      </c>
      <c r="J216" s="2" t="s">
        <v>782</v>
      </c>
      <c r="K216" s="3" t="n">
        <f aca="true">IFERROR(DATEDIF(DATEVALUE(A216),TODAY(),"d"),"")</f>
        <v>5</v>
      </c>
      <c r="L216" s="2" t="str">
        <f aca="false">IF(OR(E216="",H216="",H216="anotado sin numero"),"Sin info, no aplica",IF(I216="no","Cerrado, no volver a tocar",IF(I216="vendido","Cliente, no prospectar",IF(I216="respondio","Atender la conversacion hoy",IF(I216="enviado",IF(K216&gt;=1,"Mandar seguimiento (24-48h)","Esperar respuesta"),"Enviar primer mensaje")))))</f>
        <v>Enviar primer mensaje</v>
      </c>
      <c r="M216" s="4" t="str">
        <f aca="true">IF(OR(L216="Sin info, no aplica",L216="Cerrado, no volver a tocar",L216="Cliente, no prospectar"),"",IF(I216="enviado",DATEVALUE(A216)+2,IF(I216="respondio",TODAY(),"")))</f>
        <v/>
      </c>
    </row>
    <row r="217" customFormat="false" ht="15" hidden="false" customHeight="false" outlineLevel="0" collapsed="false">
      <c r="A217" s="2" t="s">
        <v>748</v>
      </c>
      <c r="B217" s="2" t="s">
        <v>783</v>
      </c>
      <c r="C217" s="2" t="s">
        <v>784</v>
      </c>
      <c r="D217" s="2" t="s">
        <v>186</v>
      </c>
      <c r="E217" s="3" t="n">
        <v>7</v>
      </c>
      <c r="F217" s="3" t="n">
        <v>4.9</v>
      </c>
      <c r="G217" s="2" t="s">
        <v>17</v>
      </c>
      <c r="H217" s="2" t="s">
        <v>785</v>
      </c>
      <c r="I217" s="2" t="s">
        <v>19</v>
      </c>
      <c r="J217" s="2" t="s">
        <v>786</v>
      </c>
      <c r="K217" s="3" t="n">
        <f aca="true">IFERROR(DATEDIF(DATEVALUE(A217),TODAY(),"d"),"")</f>
        <v>5</v>
      </c>
      <c r="L217" s="2" t="str">
        <f aca="false">IF(OR(E217="",H217="",H217="anotado sin numero"),"Sin info, no aplica",IF(I217="no","Cerrado, no volver a tocar",IF(I217="vendido","Cliente, no prospectar",IF(I217="respondio","Atender la conversacion hoy",IF(I217="enviado",IF(K217&gt;=1,"Mandar seguimiento (24-48h)","Esperar respuesta"),"Enviar primer mensaje")))))</f>
        <v>Enviar primer mensaje</v>
      </c>
      <c r="M217" s="4" t="str">
        <f aca="true">IF(OR(L217="Sin info, no aplica",L217="Cerrado, no volver a tocar",L217="Cliente, no prospectar"),"",IF(I217="enviado",DATEVALUE(A217)+2,IF(I217="respondio",TODAY(),"")))</f>
        <v/>
      </c>
    </row>
    <row r="218" customFormat="false" ht="15" hidden="false" customHeight="false" outlineLevel="0" collapsed="false">
      <c r="A218" s="2" t="s">
        <v>748</v>
      </c>
      <c r="B218" s="2" t="s">
        <v>787</v>
      </c>
      <c r="C218" s="2" t="s">
        <v>788</v>
      </c>
      <c r="D218" s="2" t="s">
        <v>186</v>
      </c>
      <c r="E218" s="3" t="n">
        <v>1</v>
      </c>
      <c r="F218" s="3" t="n">
        <v>5</v>
      </c>
      <c r="G218" s="2" t="s">
        <v>17</v>
      </c>
      <c r="H218" s="2" t="s">
        <v>789</v>
      </c>
      <c r="I218" s="2" t="s">
        <v>19</v>
      </c>
      <c r="J218" s="2" t="s">
        <v>786</v>
      </c>
      <c r="K218" s="3" t="n">
        <f aca="true">IFERROR(DATEDIF(DATEVALUE(A218),TODAY(),"d"),"")</f>
        <v>5</v>
      </c>
      <c r="L218" s="2" t="str">
        <f aca="false">IF(OR(E218="",H218="",H218="anotado sin numero"),"Sin info, no aplica",IF(I218="no","Cerrado, no volver a tocar",IF(I218="vendido","Cliente, no prospectar",IF(I218="respondio","Atender la conversacion hoy",IF(I218="enviado",IF(K218&gt;=1,"Mandar seguimiento (24-48h)","Esperar respuesta"),"Enviar primer mensaje")))))</f>
        <v>Enviar primer mensaje</v>
      </c>
      <c r="M218" s="4" t="str">
        <f aca="true">IF(OR(L218="Sin info, no aplica",L218="Cerrado, no volver a tocar",L218="Cliente, no prospectar"),"",IF(I218="enviado",DATEVALUE(A218)+2,IF(I218="respondio",TODAY(),"")))</f>
        <v/>
      </c>
    </row>
    <row r="219" customFormat="false" ht="15" hidden="false" customHeight="false" outlineLevel="0" collapsed="false">
      <c r="A219" s="2" t="s">
        <v>748</v>
      </c>
      <c r="B219" s="2" t="s">
        <v>790</v>
      </c>
      <c r="C219" s="2" t="s">
        <v>185</v>
      </c>
      <c r="D219" s="2" t="s">
        <v>791</v>
      </c>
      <c r="E219" s="3" t="n">
        <v>4</v>
      </c>
      <c r="F219" s="3" t="n">
        <v>5</v>
      </c>
      <c r="G219" s="2" t="s">
        <v>17</v>
      </c>
      <c r="H219" s="2" t="s">
        <v>792</v>
      </c>
      <c r="I219" s="2" t="s">
        <v>19</v>
      </c>
      <c r="J219" s="2" t="s">
        <v>793</v>
      </c>
      <c r="K219" s="3" t="n">
        <f aca="true">IFERROR(DATEDIF(DATEVALUE(A219),TODAY(),"d"),"")</f>
        <v>5</v>
      </c>
      <c r="L219" s="2" t="str">
        <f aca="false">IF(OR(E219="",H219="",H219="anotado sin numero"),"Sin info, no aplica",IF(I219="no","Cerrado, no volver a tocar",IF(I219="vendido","Cliente, no prospectar",IF(I219="respondio","Atender la conversacion hoy",IF(I219="enviado",IF(K219&gt;=1,"Mandar seguimiento (24-48h)","Esperar respuesta"),"Enviar primer mensaje")))))</f>
        <v>Enviar primer mensaje</v>
      </c>
      <c r="M219" s="4" t="str">
        <f aca="true">IF(OR(L219="Sin info, no aplica",L219="Cerrado, no volver a tocar",L219="Cliente, no prospectar"),"",IF(I219="enviado",DATEVALUE(A219)+2,IF(I219="respondio",TODAY(),"")))</f>
        <v/>
      </c>
    </row>
    <row r="220" customFormat="false" ht="15" hidden="false" customHeight="false" outlineLevel="0" collapsed="false">
      <c r="A220" s="2" t="s">
        <v>748</v>
      </c>
      <c r="B220" s="2" t="s">
        <v>794</v>
      </c>
      <c r="C220" s="2" t="s">
        <v>185</v>
      </c>
      <c r="D220" s="2" t="s">
        <v>791</v>
      </c>
      <c r="E220" s="3" t="n">
        <v>1</v>
      </c>
      <c r="F220" s="3" t="n">
        <v>5</v>
      </c>
      <c r="G220" s="2" t="s">
        <v>17</v>
      </c>
      <c r="H220" s="2" t="s">
        <v>795</v>
      </c>
      <c r="I220" s="2" t="s">
        <v>19</v>
      </c>
      <c r="J220" s="2" t="s">
        <v>793</v>
      </c>
      <c r="K220" s="3" t="n">
        <f aca="true">IFERROR(DATEDIF(DATEVALUE(A220),TODAY(),"d"),"")</f>
        <v>5</v>
      </c>
      <c r="L220" s="2" t="str">
        <f aca="false">IF(OR(E220="",H220="",H220="anotado sin numero"),"Sin info, no aplica",IF(I220="no","Cerrado, no volver a tocar",IF(I220="vendido","Cliente, no prospectar",IF(I220="respondio","Atender la conversacion hoy",IF(I220="enviado",IF(K220&gt;=1,"Mandar seguimiento (24-48h)","Esperar respuesta"),"Enviar primer mensaje")))))</f>
        <v>Enviar primer mensaje</v>
      </c>
      <c r="M220" s="4" t="str">
        <f aca="true">IF(OR(L220="Sin info, no aplica",L220="Cerrado, no volver a tocar",L220="Cliente, no prospectar"),"",IF(I220="enviado",DATEVALUE(A220)+2,IF(I220="respondio",TODAY(),"")))</f>
        <v/>
      </c>
    </row>
    <row r="221" customFormat="false" ht="15" hidden="false" customHeight="false" outlineLevel="0" collapsed="false">
      <c r="A221" s="2" t="s">
        <v>748</v>
      </c>
      <c r="B221" s="2" t="s">
        <v>796</v>
      </c>
      <c r="C221" s="2" t="s">
        <v>185</v>
      </c>
      <c r="D221" s="2" t="s">
        <v>797</v>
      </c>
      <c r="E221" s="3" t="n">
        <v>3</v>
      </c>
      <c r="F221" s="3" t="n">
        <v>5</v>
      </c>
      <c r="G221" s="2" t="s">
        <v>17</v>
      </c>
      <c r="H221" s="2" t="s">
        <v>798</v>
      </c>
      <c r="I221" s="2" t="s">
        <v>19</v>
      </c>
      <c r="J221" s="2" t="s">
        <v>799</v>
      </c>
      <c r="K221" s="3" t="n">
        <f aca="true">IFERROR(DATEDIF(DATEVALUE(A221),TODAY(),"d"),"")</f>
        <v>5</v>
      </c>
      <c r="L221" s="2" t="str">
        <f aca="false">IF(OR(E221="",H221="",H221="anotado sin numero"),"Sin info, no aplica",IF(I221="no","Cerrado, no volver a tocar",IF(I221="vendido","Cliente, no prospectar",IF(I221="respondio","Atender la conversacion hoy",IF(I221="enviado",IF(K221&gt;=1,"Mandar seguimiento (24-48h)","Esperar respuesta"),"Enviar primer mensaje")))))</f>
        <v>Enviar primer mensaje</v>
      </c>
      <c r="M221" s="4" t="str">
        <f aca="true">IF(OR(L221="Sin info, no aplica",L221="Cerrado, no volver a tocar",L221="Cliente, no prospectar"),"",IF(I221="enviado",DATEVALUE(A221)+2,IF(I221="respondio",TODAY(),"")))</f>
        <v/>
      </c>
    </row>
    <row r="222" customFormat="false" ht="15" hidden="false" customHeight="false" outlineLevel="0" collapsed="false">
      <c r="A222" s="2" t="s">
        <v>748</v>
      </c>
      <c r="B222" s="2" t="s">
        <v>800</v>
      </c>
      <c r="C222" s="2" t="s">
        <v>801</v>
      </c>
      <c r="D222" s="2" t="s">
        <v>797</v>
      </c>
      <c r="E222" s="3" t="n">
        <v>3</v>
      </c>
      <c r="F222" s="3" t="n">
        <v>5</v>
      </c>
      <c r="G222" s="2" t="s">
        <v>17</v>
      </c>
      <c r="H222" s="2" t="s">
        <v>802</v>
      </c>
      <c r="I222" s="2" t="s">
        <v>19</v>
      </c>
      <c r="J222" s="2" t="s">
        <v>799</v>
      </c>
      <c r="K222" s="3" t="n">
        <f aca="true">IFERROR(DATEDIF(DATEVALUE(A222),TODAY(),"d"),"")</f>
        <v>5</v>
      </c>
      <c r="L222" s="2" t="str">
        <f aca="false">IF(OR(E222="",H222="",H222="anotado sin numero"),"Sin info, no aplica",IF(I222="no","Cerrado, no volver a tocar",IF(I222="vendido","Cliente, no prospectar",IF(I222="respondio","Atender la conversacion hoy",IF(I222="enviado",IF(K222&gt;=1,"Mandar seguimiento (24-48h)","Esperar respuesta"),"Enviar primer mensaje")))))</f>
        <v>Enviar primer mensaje</v>
      </c>
      <c r="M222" s="4" t="str">
        <f aca="true">IF(OR(L222="Sin info, no aplica",L222="Cerrado, no volver a tocar",L222="Cliente, no prospectar"),"",IF(I222="enviado",DATEVALUE(A222)+2,IF(I222="respondio",TODAY(),"")))</f>
        <v/>
      </c>
    </row>
    <row r="223" customFormat="false" ht="15" hidden="false" customHeight="false" outlineLevel="0" collapsed="false">
      <c r="A223" s="2" t="s">
        <v>748</v>
      </c>
      <c r="B223" s="2" t="s">
        <v>803</v>
      </c>
      <c r="C223" s="2" t="s">
        <v>801</v>
      </c>
      <c r="D223" s="2" t="s">
        <v>804</v>
      </c>
      <c r="E223" s="3" t="n">
        <v>3</v>
      </c>
      <c r="F223" s="3" t="n">
        <v>5</v>
      </c>
      <c r="G223" s="2" t="s">
        <v>17</v>
      </c>
      <c r="H223" s="2" t="s">
        <v>805</v>
      </c>
      <c r="I223" s="2" t="s">
        <v>19</v>
      </c>
      <c r="J223" s="2" t="s">
        <v>799</v>
      </c>
      <c r="K223" s="3" t="n">
        <f aca="true">IFERROR(DATEDIF(DATEVALUE(A223),TODAY(),"d"),"")</f>
        <v>5</v>
      </c>
      <c r="L223" s="2" t="str">
        <f aca="false">IF(OR(E223="",H223="",H223="anotado sin numero"),"Sin info, no aplica",IF(I223="no","Cerrado, no volver a tocar",IF(I223="vendido","Cliente, no prospectar",IF(I223="respondio","Atender la conversacion hoy",IF(I223="enviado",IF(K223&gt;=1,"Mandar seguimiento (24-48h)","Esperar respuesta"),"Enviar primer mensaje")))))</f>
        <v>Enviar primer mensaje</v>
      </c>
      <c r="M223" s="4" t="str">
        <f aca="true">IF(OR(L223="Sin info, no aplica",L223="Cerrado, no volver a tocar",L223="Cliente, no prospectar"),"",IF(I223="enviado",DATEVALUE(A223)+2,IF(I223="respondio",TODAY(),"")))</f>
        <v/>
      </c>
    </row>
    <row r="224" customFormat="false" ht="15" hidden="false" customHeight="false" outlineLevel="0" collapsed="false">
      <c r="A224" s="2" t="s">
        <v>748</v>
      </c>
      <c r="B224" s="2" t="s">
        <v>806</v>
      </c>
      <c r="C224" s="2" t="s">
        <v>185</v>
      </c>
      <c r="D224" s="2" t="s">
        <v>807</v>
      </c>
      <c r="E224" s="3" t="n">
        <v>2</v>
      </c>
      <c r="F224" s="3" t="n">
        <v>5</v>
      </c>
      <c r="G224" s="2" t="s">
        <v>17</v>
      </c>
      <c r="H224" s="2" t="s">
        <v>808</v>
      </c>
      <c r="I224" s="2" t="s">
        <v>19</v>
      </c>
      <c r="J224" s="2" t="s">
        <v>799</v>
      </c>
      <c r="K224" s="3" t="n">
        <f aca="true">IFERROR(DATEDIF(DATEVALUE(A224),TODAY(),"d"),"")</f>
        <v>5</v>
      </c>
      <c r="L224" s="2" t="str">
        <f aca="false">IF(OR(E224="",H224="",H224="anotado sin numero"),"Sin info, no aplica",IF(I224="no","Cerrado, no volver a tocar",IF(I224="vendido","Cliente, no prospectar",IF(I224="respondio","Atender la conversacion hoy",IF(I224="enviado",IF(K224&gt;=1,"Mandar seguimiento (24-48h)","Esperar respuesta"),"Enviar primer mensaje")))))</f>
        <v>Enviar primer mensaje</v>
      </c>
      <c r="M224" s="4" t="str">
        <f aca="true">IF(OR(L224="Sin info, no aplica",L224="Cerrado, no volver a tocar",L224="Cliente, no prospectar"),"",IF(I224="enviado",DATEVALUE(A224)+2,IF(I224="respondio",TODAY(),"")))</f>
        <v/>
      </c>
    </row>
    <row r="225" customFormat="false" ht="15" hidden="false" customHeight="false" outlineLevel="0" collapsed="false">
      <c r="A225" s="2" t="s">
        <v>748</v>
      </c>
      <c r="B225" s="2" t="s">
        <v>809</v>
      </c>
      <c r="C225" s="2" t="s">
        <v>287</v>
      </c>
      <c r="D225" s="2" t="s">
        <v>797</v>
      </c>
      <c r="E225" s="3" t="n">
        <v>5</v>
      </c>
      <c r="F225" s="3" t="n">
        <v>4.4</v>
      </c>
      <c r="G225" s="2" t="s">
        <v>17</v>
      </c>
      <c r="H225" s="2" t="s">
        <v>810</v>
      </c>
      <c r="I225" s="2" t="s">
        <v>19</v>
      </c>
      <c r="J225" s="2" t="s">
        <v>799</v>
      </c>
      <c r="K225" s="3" t="n">
        <f aca="true">IFERROR(DATEDIF(DATEVALUE(A225),TODAY(),"d"),"")</f>
        <v>5</v>
      </c>
      <c r="L225" s="2" t="str">
        <f aca="false">IF(OR(E225="",H225="",H225="anotado sin numero"),"Sin info, no aplica",IF(I225="no","Cerrado, no volver a tocar",IF(I225="vendido","Cliente, no prospectar",IF(I225="respondio","Atender la conversacion hoy",IF(I225="enviado",IF(K225&gt;=1,"Mandar seguimiento (24-48h)","Esperar respuesta"),"Enviar primer mensaje")))))</f>
        <v>Enviar primer mensaje</v>
      </c>
      <c r="M225" s="4" t="str">
        <f aca="true">IF(OR(L225="Sin info, no aplica",L225="Cerrado, no volver a tocar",L225="Cliente, no prospectar"),"",IF(I225="enviado",DATEVALUE(A225)+2,IF(I225="respondio",TODAY(),"")))</f>
        <v/>
      </c>
    </row>
    <row r="226" customFormat="false" ht="15" hidden="false" customHeight="false" outlineLevel="0" collapsed="false">
      <c r="A226" s="2" t="s">
        <v>748</v>
      </c>
      <c r="B226" s="2" t="s">
        <v>811</v>
      </c>
      <c r="C226" s="2" t="s">
        <v>812</v>
      </c>
      <c r="D226" s="2" t="s">
        <v>813</v>
      </c>
      <c r="E226" s="3" t="n">
        <v>1</v>
      </c>
      <c r="F226" s="3" t="n">
        <v>5</v>
      </c>
      <c r="G226" s="2" t="s">
        <v>17</v>
      </c>
      <c r="H226" s="2" t="s">
        <v>814</v>
      </c>
      <c r="I226" s="2" t="s">
        <v>19</v>
      </c>
      <c r="J226" s="2" t="s">
        <v>799</v>
      </c>
      <c r="K226" s="3" t="n">
        <f aca="true">IFERROR(DATEDIF(DATEVALUE(A226),TODAY(),"d"),"")</f>
        <v>5</v>
      </c>
      <c r="L226" s="2" t="str">
        <f aca="false">IF(OR(E226="",H226="",H226="anotado sin numero"),"Sin info, no aplica",IF(I226="no","Cerrado, no volver a tocar",IF(I226="vendido","Cliente, no prospectar",IF(I226="respondio","Atender la conversacion hoy",IF(I226="enviado",IF(K226&gt;=1,"Mandar seguimiento (24-48h)","Esperar respuesta"),"Enviar primer mensaje")))))</f>
        <v>Enviar primer mensaje</v>
      </c>
      <c r="M226" s="4" t="str">
        <f aca="true">IF(OR(L226="Sin info, no aplica",L226="Cerrado, no volver a tocar",L226="Cliente, no prospectar"),"",IF(I226="enviado",DATEVALUE(A226)+2,IF(I226="respondio",TODAY(),"")))</f>
        <v/>
      </c>
    </row>
    <row r="227" customFormat="false" ht="15" hidden="false" customHeight="false" outlineLevel="0" collapsed="false">
      <c r="A227" s="2" t="s">
        <v>748</v>
      </c>
      <c r="B227" s="2" t="s">
        <v>815</v>
      </c>
      <c r="C227" s="2" t="s">
        <v>287</v>
      </c>
      <c r="D227" s="2" t="s">
        <v>816</v>
      </c>
      <c r="E227" s="3" t="n">
        <v>5</v>
      </c>
      <c r="F227" s="3" t="n">
        <v>4.6</v>
      </c>
      <c r="G227" s="2" t="s">
        <v>17</v>
      </c>
      <c r="H227" s="2" t="s">
        <v>817</v>
      </c>
      <c r="I227" s="2" t="s">
        <v>19</v>
      </c>
      <c r="J227" s="2" t="s">
        <v>818</v>
      </c>
      <c r="K227" s="3" t="n">
        <f aca="true">IFERROR(DATEDIF(DATEVALUE(A227),TODAY(),"d"),"")</f>
        <v>5</v>
      </c>
      <c r="L227" s="2" t="str">
        <f aca="false">IF(OR(E227="",H227="",H227="anotado sin numero"),"Sin info, no aplica",IF(I227="no","Cerrado, no volver a tocar",IF(I227="vendido","Cliente, no prospectar",IF(I227="respondio","Atender la conversacion hoy",IF(I227="enviado",IF(K227&gt;=1,"Mandar seguimiento (24-48h)","Esperar respuesta"),"Enviar primer mensaje")))))</f>
        <v>Enviar primer mensaje</v>
      </c>
      <c r="M227" s="4" t="str">
        <f aca="true">IF(OR(L227="Sin info, no aplica",L227="Cerrado, no volver a tocar",L227="Cliente, no prospectar"),"",IF(I227="enviado",DATEVALUE(A227)+2,IF(I227="respondio",TODAY(),"")))</f>
        <v/>
      </c>
    </row>
    <row r="228" customFormat="false" ht="15" hidden="false" customHeight="false" outlineLevel="0" collapsed="false">
      <c r="A228" s="2" t="s">
        <v>748</v>
      </c>
      <c r="B228" s="2" t="s">
        <v>819</v>
      </c>
      <c r="C228" s="2" t="s">
        <v>820</v>
      </c>
      <c r="D228" s="2" t="s">
        <v>821</v>
      </c>
      <c r="E228" s="3" t="n">
        <v>3</v>
      </c>
      <c r="F228" s="3" t="n">
        <v>5</v>
      </c>
      <c r="G228" s="2" t="s">
        <v>17</v>
      </c>
      <c r="H228" s="2" t="s">
        <v>822</v>
      </c>
      <c r="I228" s="2" t="s">
        <v>19</v>
      </c>
      <c r="J228" s="2" t="s">
        <v>818</v>
      </c>
      <c r="K228" s="3" t="n">
        <f aca="true">IFERROR(DATEDIF(DATEVALUE(A228),TODAY(),"d"),"")</f>
        <v>5</v>
      </c>
      <c r="L228" s="2" t="str">
        <f aca="false">IF(OR(E228="",H228="",H228="anotado sin numero"),"Sin info, no aplica",IF(I228="no","Cerrado, no volver a tocar",IF(I228="vendido","Cliente, no prospectar",IF(I228="respondio","Atender la conversacion hoy",IF(I228="enviado",IF(K228&gt;=1,"Mandar seguimiento (24-48h)","Esperar respuesta"),"Enviar primer mensaje")))))</f>
        <v>Enviar primer mensaje</v>
      </c>
      <c r="M228" s="4" t="str">
        <f aca="true">IF(OR(L228="Sin info, no aplica",L228="Cerrado, no volver a tocar",L228="Cliente, no prospectar"),"",IF(I228="enviado",DATEVALUE(A228)+2,IF(I228="respondio",TODAY(),"")))</f>
        <v/>
      </c>
    </row>
    <row r="229" customFormat="false" ht="15" hidden="false" customHeight="false" outlineLevel="0" collapsed="false">
      <c r="A229" s="2" t="s">
        <v>748</v>
      </c>
      <c r="B229" s="2" t="s">
        <v>823</v>
      </c>
      <c r="C229" s="2" t="s">
        <v>287</v>
      </c>
      <c r="D229" s="2" t="s">
        <v>824</v>
      </c>
      <c r="E229" s="3" t="n">
        <v>2</v>
      </c>
      <c r="F229" s="3" t="n">
        <v>5</v>
      </c>
      <c r="G229" s="2" t="s">
        <v>17</v>
      </c>
      <c r="H229" s="2" t="s">
        <v>825</v>
      </c>
      <c r="I229" s="2" t="s">
        <v>19</v>
      </c>
      <c r="J229" s="2" t="s">
        <v>818</v>
      </c>
      <c r="K229" s="3" t="n">
        <f aca="true">IFERROR(DATEDIF(DATEVALUE(A229),TODAY(),"d"),"")</f>
        <v>5</v>
      </c>
      <c r="L229" s="2" t="str">
        <f aca="false">IF(OR(E229="",H229="",H229="anotado sin numero"),"Sin info, no aplica",IF(I229="no","Cerrado, no volver a tocar",IF(I229="vendido","Cliente, no prospectar",IF(I229="respondio","Atender la conversacion hoy",IF(I229="enviado",IF(K229&gt;=1,"Mandar seguimiento (24-48h)","Esperar respuesta"),"Enviar primer mensaje")))))</f>
        <v>Enviar primer mensaje</v>
      </c>
      <c r="M229" s="4" t="str">
        <f aca="true">IF(OR(L229="Sin info, no aplica",L229="Cerrado, no volver a tocar",L229="Cliente, no prospectar"),"",IF(I229="enviado",DATEVALUE(A229)+2,IF(I229="respondio",TODAY(),"")))</f>
        <v/>
      </c>
    </row>
    <row r="230" customFormat="false" ht="15" hidden="false" customHeight="false" outlineLevel="0" collapsed="false">
      <c r="A230" s="2" t="s">
        <v>826</v>
      </c>
      <c r="B230" s="2" t="s">
        <v>827</v>
      </c>
      <c r="C230" s="2" t="s">
        <v>448</v>
      </c>
      <c r="D230" s="2" t="s">
        <v>16</v>
      </c>
      <c r="E230" s="3" t="n">
        <v>12</v>
      </c>
      <c r="F230" s="3" t="n">
        <v>5</v>
      </c>
      <c r="G230" s="2" t="s">
        <v>17</v>
      </c>
      <c r="H230" s="2" t="s">
        <v>828</v>
      </c>
      <c r="I230" s="2" t="s">
        <v>19</v>
      </c>
      <c r="J230" s="2" t="s">
        <v>829</v>
      </c>
      <c r="K230" s="3" t="n">
        <f aca="true">IFERROR(DATEDIF(DATEVALUE(A230),TODAY(),"d"),"")</f>
        <v>1</v>
      </c>
      <c r="L230" s="2" t="str">
        <f aca="false">IF(OR(E230="",H230="",H230="anotado sin numero"),"Sin info, no aplica",IF(I230="no","Cerrado, no volver a tocar",IF(I230="vendido","Cliente, no prospectar",IF(I230="respondio","Atender la conversacion hoy",IF(I230="enviado",IF(K230&gt;=1,"Mandar seguimiento (24-48h)","Esperar respuesta"),"Enviar primer mensaje")))))</f>
        <v>Enviar primer mensaje</v>
      </c>
      <c r="M230" s="4" t="str">
        <f aca="true">IF(OR(L230="Sin info, no aplica",L230="Cerrado, no volver a tocar",L230="Cliente, no prospectar"),"",IF(I230="enviado",DATEVALUE(A230)+2,IF(I230="respondio",TODAY(),"")))</f>
        <v/>
      </c>
    </row>
    <row r="231" customFormat="false" ht="15" hidden="false" customHeight="false" outlineLevel="0" collapsed="false">
      <c r="A231" s="2" t="s">
        <v>826</v>
      </c>
      <c r="B231" s="2" t="s">
        <v>830</v>
      </c>
      <c r="C231" s="2" t="s">
        <v>448</v>
      </c>
      <c r="D231" s="2" t="s">
        <v>16</v>
      </c>
      <c r="E231" s="3" t="n">
        <v>14</v>
      </c>
      <c r="F231" s="3" t="n">
        <v>5</v>
      </c>
      <c r="G231" s="2" t="s">
        <v>17</v>
      </c>
      <c r="H231" s="2" t="s">
        <v>831</v>
      </c>
      <c r="I231" s="2" t="s">
        <v>19</v>
      </c>
      <c r="J231" s="2" t="s">
        <v>832</v>
      </c>
      <c r="K231" s="3" t="n">
        <f aca="true">IFERROR(DATEDIF(DATEVALUE(A231),TODAY(),"d"),"")</f>
        <v>1</v>
      </c>
      <c r="L231" s="2" t="str">
        <f aca="false">IF(OR(E231="",H231="",H231="anotado sin numero"),"Sin info, no aplica",IF(I231="no","Cerrado, no volver a tocar",IF(I231="vendido","Cliente, no prospectar",IF(I231="respondio","Atender la conversacion hoy",IF(I231="enviado",IF(K231&gt;=1,"Mandar seguimiento (24-48h)","Esperar respuesta"),"Enviar primer mensaje")))))</f>
        <v>Enviar primer mensaje</v>
      </c>
      <c r="M231" s="4" t="str">
        <f aca="true">IF(OR(L231="Sin info, no aplica",L231="Cerrado, no volver a tocar",L231="Cliente, no prospectar"),"",IF(I231="enviado",DATEVALUE(A231)+2,IF(I231="respondio",TODAY(),"")))</f>
        <v/>
      </c>
    </row>
    <row r="232" customFormat="false" ht="15" hidden="false" customHeight="false" outlineLevel="0" collapsed="false">
      <c r="A232" s="2" t="s">
        <v>826</v>
      </c>
      <c r="B232" s="2" t="s">
        <v>833</v>
      </c>
      <c r="C232" s="2" t="s">
        <v>448</v>
      </c>
      <c r="D232" s="2" t="s">
        <v>16</v>
      </c>
      <c r="E232" s="3" t="n">
        <v>4</v>
      </c>
      <c r="F232" s="3" t="n">
        <v>5</v>
      </c>
      <c r="G232" s="2" t="s">
        <v>17</v>
      </c>
      <c r="H232" s="2" t="s">
        <v>834</v>
      </c>
      <c r="I232" s="2" t="s">
        <v>19</v>
      </c>
      <c r="J232" s="2" t="s">
        <v>835</v>
      </c>
      <c r="K232" s="3" t="n">
        <f aca="true">IFERROR(DATEDIF(DATEVALUE(A232),TODAY(),"d"),"")</f>
        <v>1</v>
      </c>
      <c r="L232" s="2" t="str">
        <f aca="false">IF(OR(E232="",H232="",H232="anotado sin numero"),"Sin info, no aplica",IF(I232="no","Cerrado, no volver a tocar",IF(I232="vendido","Cliente, no prospectar",IF(I232="respondio","Atender la conversacion hoy",IF(I232="enviado",IF(K232&gt;=1,"Mandar seguimiento (24-48h)","Esperar respuesta"),"Enviar primer mensaje")))))</f>
        <v>Enviar primer mensaje</v>
      </c>
      <c r="M232" s="4" t="str">
        <f aca="true">IF(OR(L232="Sin info, no aplica",L232="Cerrado, no volver a tocar",L232="Cliente, no prospectar"),"",IF(I232="enviado",DATEVALUE(A232)+2,IF(I232="respondio",TODAY(),"")))</f>
        <v/>
      </c>
    </row>
    <row r="233" customFormat="false" ht="15" hidden="false" customHeight="false" outlineLevel="0" collapsed="false">
      <c r="A233" s="2" t="s">
        <v>826</v>
      </c>
      <c r="B233" s="2" t="s">
        <v>836</v>
      </c>
      <c r="C233" s="2" t="s">
        <v>448</v>
      </c>
      <c r="D233" s="2" t="s">
        <v>837</v>
      </c>
      <c r="E233" s="3" t="n">
        <v>4</v>
      </c>
      <c r="F233" s="3" t="n">
        <v>5</v>
      </c>
      <c r="G233" s="2" t="s">
        <v>17</v>
      </c>
      <c r="H233" s="2" t="s">
        <v>838</v>
      </c>
      <c r="I233" s="2" t="s">
        <v>19</v>
      </c>
      <c r="J233" s="2" t="s">
        <v>839</v>
      </c>
      <c r="K233" s="3" t="n">
        <f aca="true">IFERROR(DATEDIF(DATEVALUE(A233),TODAY(),"d"),"")</f>
        <v>1</v>
      </c>
      <c r="L233" s="2" t="str">
        <f aca="false">IF(OR(E233="",H233="",H233="anotado sin numero"),"Sin info, no aplica",IF(I233="no","Cerrado, no volver a tocar",IF(I233="vendido","Cliente, no prospectar",IF(I233="respondio","Atender la conversacion hoy",IF(I233="enviado",IF(K233&gt;=1,"Mandar seguimiento (24-48h)","Esperar respuesta"),"Enviar primer mensaje")))))</f>
        <v>Enviar primer mensaje</v>
      </c>
      <c r="M233" s="4" t="str">
        <f aca="true">IF(OR(L233="Sin info, no aplica",L233="Cerrado, no volver a tocar",L233="Cliente, no prospectar"),"",IF(I233="enviado",DATEVALUE(A233)+2,IF(I233="respondio",TODAY(),"")))</f>
        <v/>
      </c>
    </row>
    <row r="234" customFormat="false" ht="15" hidden="false" customHeight="false" outlineLevel="0" collapsed="false">
      <c r="A234" s="2" t="s">
        <v>826</v>
      </c>
      <c r="B234" s="2" t="s">
        <v>840</v>
      </c>
      <c r="C234" s="2" t="s">
        <v>448</v>
      </c>
      <c r="D234" s="2" t="s">
        <v>841</v>
      </c>
      <c r="E234" s="3" t="n">
        <v>14</v>
      </c>
      <c r="F234" s="3" t="n">
        <v>4.4</v>
      </c>
      <c r="G234" s="2" t="s">
        <v>17</v>
      </c>
      <c r="H234" s="2" t="s">
        <v>842</v>
      </c>
      <c r="I234" s="2" t="s">
        <v>19</v>
      </c>
      <c r="J234" s="2" t="s">
        <v>843</v>
      </c>
      <c r="K234" s="3" t="n">
        <f aca="true">IFERROR(DATEDIF(DATEVALUE(A234),TODAY(),"d"),"")</f>
        <v>1</v>
      </c>
      <c r="L234" s="2" t="str">
        <f aca="false">IF(OR(E234="",H234="",H234="anotado sin numero"),"Sin info, no aplica",IF(I234="no","Cerrado, no volver a tocar",IF(I234="vendido","Cliente, no prospectar",IF(I234="respondio","Atender la conversacion hoy",IF(I234="enviado",IF(K234&gt;=1,"Mandar seguimiento (24-48h)","Esperar respuesta"),"Enviar primer mensaje")))))</f>
        <v>Enviar primer mensaje</v>
      </c>
      <c r="M234" s="4" t="str">
        <f aca="true">IF(OR(L234="Sin info, no aplica",L234="Cerrado, no volver a tocar",L234="Cliente, no prospectar"),"",IF(I234="enviado",DATEVALUE(A234)+2,IF(I234="respondio",TODAY(),"")))</f>
        <v/>
      </c>
    </row>
    <row r="235" customFormat="false" ht="15" hidden="false" customHeight="false" outlineLevel="0" collapsed="false">
      <c r="A235" s="2" t="s">
        <v>826</v>
      </c>
      <c r="B235" s="2" t="s">
        <v>844</v>
      </c>
      <c r="C235" s="2" t="s">
        <v>448</v>
      </c>
      <c r="D235" s="2" t="s">
        <v>845</v>
      </c>
      <c r="E235" s="3" t="n">
        <v>1</v>
      </c>
      <c r="F235" s="3" t="n">
        <v>5</v>
      </c>
      <c r="G235" s="2" t="s">
        <v>17</v>
      </c>
      <c r="H235" s="2" t="s">
        <v>846</v>
      </c>
      <c r="I235" s="2" t="s">
        <v>19</v>
      </c>
      <c r="J235" s="2" t="s">
        <v>847</v>
      </c>
      <c r="K235" s="3" t="n">
        <f aca="true">IFERROR(DATEDIF(DATEVALUE(A235),TODAY(),"d"),"")</f>
        <v>1</v>
      </c>
      <c r="L235" s="2" t="str">
        <f aca="false">IF(OR(E235="",H235="",H235="anotado sin numero"),"Sin info, no aplica",IF(I235="no","Cerrado, no volver a tocar",IF(I235="vendido","Cliente, no prospectar",IF(I235="respondio","Atender la conversacion hoy",IF(I235="enviado",IF(K235&gt;=1,"Mandar seguimiento (24-48h)","Esperar respuesta"),"Enviar primer mensaje")))))</f>
        <v>Enviar primer mensaje</v>
      </c>
      <c r="M235" s="4" t="str">
        <f aca="true">IF(OR(L235="Sin info, no aplica",L235="Cerrado, no volver a tocar",L235="Cliente, no prospectar"),"",IF(I235="enviado",DATEVALUE(A235)+2,IF(I235="respondio",TODAY(),"")))</f>
        <v/>
      </c>
    </row>
    <row r="236" customFormat="false" ht="15" hidden="false" customHeight="false" outlineLevel="0" collapsed="false">
      <c r="A236" s="2" t="s">
        <v>826</v>
      </c>
      <c r="B236" s="2" t="s">
        <v>848</v>
      </c>
      <c r="C236" s="2" t="s">
        <v>98</v>
      </c>
      <c r="D236" s="2" t="s">
        <v>849</v>
      </c>
      <c r="E236" s="3" t="n">
        <v>14</v>
      </c>
      <c r="F236" s="3" t="n">
        <v>5</v>
      </c>
      <c r="G236" s="2" t="s">
        <v>17</v>
      </c>
      <c r="H236" s="2" t="s">
        <v>850</v>
      </c>
      <c r="I236" s="2" t="s">
        <v>19</v>
      </c>
      <c r="J236" s="2" t="s">
        <v>851</v>
      </c>
      <c r="K236" s="3" t="n">
        <f aca="true">IFERROR(DATEDIF(DATEVALUE(A236),TODAY(),"d"),"")</f>
        <v>1</v>
      </c>
      <c r="L236" s="2" t="str">
        <f aca="false">IF(OR(E236="",H236="",H236="anotado sin numero"),"Sin info, no aplica",IF(I236="no","Cerrado, no volver a tocar",IF(I236="vendido","Cliente, no prospectar",IF(I236="respondio","Atender la conversacion hoy",IF(I236="enviado",IF(K236&gt;=1,"Mandar seguimiento (24-48h)","Esperar respuesta"),"Enviar primer mensaje")))))</f>
        <v>Enviar primer mensaje</v>
      </c>
      <c r="M236" s="4" t="str">
        <f aca="true">IF(OR(L236="Sin info, no aplica",L236="Cerrado, no volver a tocar",L236="Cliente, no prospectar"),"",IF(I236="enviado",DATEVALUE(A236)+2,IF(I236="respondio",TODAY(),"")))</f>
        <v/>
      </c>
    </row>
    <row r="237" customFormat="false" ht="15" hidden="false" customHeight="false" outlineLevel="0" collapsed="false">
      <c r="A237" s="2" t="s">
        <v>826</v>
      </c>
      <c r="B237" s="2" t="s">
        <v>852</v>
      </c>
      <c r="C237" s="2" t="s">
        <v>98</v>
      </c>
      <c r="D237" s="2" t="s">
        <v>853</v>
      </c>
      <c r="E237" s="3" t="n">
        <v>10</v>
      </c>
      <c r="F237" s="3" t="n">
        <v>5</v>
      </c>
      <c r="G237" s="2" t="s">
        <v>17</v>
      </c>
      <c r="H237" s="2" t="s">
        <v>854</v>
      </c>
      <c r="I237" s="2" t="s">
        <v>19</v>
      </c>
      <c r="J237" s="2" t="s">
        <v>855</v>
      </c>
      <c r="K237" s="3" t="n">
        <f aca="true">IFERROR(DATEDIF(DATEVALUE(A237),TODAY(),"d"),"")</f>
        <v>1</v>
      </c>
      <c r="L237" s="2" t="str">
        <f aca="false">IF(OR(E237="",H237="",H237="anotado sin numero"),"Sin info, no aplica",IF(I237="no","Cerrado, no volver a tocar",IF(I237="vendido","Cliente, no prospectar",IF(I237="respondio","Atender la conversacion hoy",IF(I237="enviado",IF(K237&gt;=1,"Mandar seguimiento (24-48h)","Esperar respuesta"),"Enviar primer mensaje")))))</f>
        <v>Enviar primer mensaje</v>
      </c>
      <c r="M237" s="4" t="str">
        <f aca="true">IF(OR(L237="Sin info, no aplica",L237="Cerrado, no volver a tocar",L237="Cliente, no prospectar"),"",IF(I237="enviado",DATEVALUE(A237)+2,IF(I237="respondio",TODAY(),"")))</f>
        <v/>
      </c>
    </row>
    <row r="238" customFormat="false" ht="15" hidden="false" customHeight="false" outlineLevel="0" collapsed="false">
      <c r="A238" s="2" t="s">
        <v>826</v>
      </c>
      <c r="B238" s="2" t="s">
        <v>856</v>
      </c>
      <c r="C238" s="2" t="s">
        <v>98</v>
      </c>
      <c r="D238" s="2" t="s">
        <v>16</v>
      </c>
      <c r="E238" s="3" t="n">
        <v>13</v>
      </c>
      <c r="F238" s="3" t="n">
        <v>4.8</v>
      </c>
      <c r="G238" s="2" t="s">
        <v>17</v>
      </c>
      <c r="H238" s="2" t="s">
        <v>857</v>
      </c>
      <c r="I238" s="2" t="s">
        <v>19</v>
      </c>
      <c r="J238" s="2" t="s">
        <v>858</v>
      </c>
      <c r="K238" s="3" t="n">
        <f aca="true">IFERROR(DATEDIF(DATEVALUE(A238),TODAY(),"d"),"")</f>
        <v>1</v>
      </c>
      <c r="L238" s="2" t="str">
        <f aca="false">IF(OR(E238="",H238="",H238="anotado sin numero"),"Sin info, no aplica",IF(I238="no","Cerrado, no volver a tocar",IF(I238="vendido","Cliente, no prospectar",IF(I238="respondio","Atender la conversacion hoy",IF(I238="enviado",IF(K238&gt;=1,"Mandar seguimiento (24-48h)","Esperar respuesta"),"Enviar primer mensaje")))))</f>
        <v>Enviar primer mensaje</v>
      </c>
      <c r="M238" s="4" t="str">
        <f aca="true">IF(OR(L238="Sin info, no aplica",L238="Cerrado, no volver a tocar",L238="Cliente, no prospectar"),"",IF(I238="enviado",DATEVALUE(A238)+2,IF(I238="respondio",TODAY(),"")))</f>
        <v/>
      </c>
    </row>
    <row r="239" customFormat="false" ht="15" hidden="false" customHeight="false" outlineLevel="0" collapsed="false">
      <c r="A239" s="2" t="s">
        <v>826</v>
      </c>
      <c r="B239" s="2" t="s">
        <v>859</v>
      </c>
      <c r="C239" s="2" t="s">
        <v>98</v>
      </c>
      <c r="D239" s="2" t="s">
        <v>16</v>
      </c>
      <c r="E239" s="3" t="n">
        <v>2</v>
      </c>
      <c r="F239" s="3" t="n">
        <v>5</v>
      </c>
      <c r="G239" s="2" t="s">
        <v>17</v>
      </c>
      <c r="H239" s="2" t="s">
        <v>860</v>
      </c>
      <c r="I239" s="2" t="s">
        <v>19</v>
      </c>
      <c r="J239" s="2" t="s">
        <v>861</v>
      </c>
      <c r="K239" s="3" t="n">
        <f aca="true">IFERROR(DATEDIF(DATEVALUE(A239),TODAY(),"d"),"")</f>
        <v>1</v>
      </c>
      <c r="L239" s="2" t="str">
        <f aca="false">IF(OR(E239="",H239="",H239="anotado sin numero"),"Sin info, no aplica",IF(I239="no","Cerrado, no volver a tocar",IF(I239="vendido","Cliente, no prospectar",IF(I239="respondio","Atender la conversacion hoy",IF(I239="enviado",IF(K239&gt;=1,"Mandar seguimiento (24-48h)","Esperar respuesta"),"Enviar primer mensaje")))))</f>
        <v>Enviar primer mensaje</v>
      </c>
      <c r="M239" s="4" t="str">
        <f aca="true">IF(OR(L239="Sin info, no aplica",L239="Cerrado, no volver a tocar",L239="Cliente, no prospectar"),"",IF(I239="enviado",DATEVALUE(A239)+2,IF(I239="respondio",TODAY(),"")))</f>
        <v/>
      </c>
    </row>
    <row r="240" customFormat="false" ht="15" hidden="false" customHeight="false" outlineLevel="0" collapsed="false">
      <c r="A240" s="2" t="s">
        <v>826</v>
      </c>
      <c r="B240" s="2" t="s">
        <v>862</v>
      </c>
      <c r="C240" s="2" t="s">
        <v>453</v>
      </c>
      <c r="D240" s="2" t="s">
        <v>16</v>
      </c>
      <c r="E240" s="3" t="n">
        <v>2</v>
      </c>
      <c r="F240" s="3" t="n">
        <v>5</v>
      </c>
      <c r="G240" s="2" t="s">
        <v>17</v>
      </c>
      <c r="H240" s="2" t="s">
        <v>863</v>
      </c>
      <c r="I240" s="2" t="s">
        <v>19</v>
      </c>
      <c r="J240" s="2" t="s">
        <v>864</v>
      </c>
      <c r="K240" s="3" t="n">
        <f aca="true">IFERROR(DATEDIF(DATEVALUE(A240),TODAY(),"d"),"")</f>
        <v>1</v>
      </c>
      <c r="L240" s="2" t="str">
        <f aca="false">IF(OR(E240="",H240="",H240="anotado sin numero"),"Sin info, no aplica",IF(I240="no","Cerrado, no volver a tocar",IF(I240="vendido","Cliente, no prospectar",IF(I240="respondio","Atender la conversacion hoy",IF(I240="enviado",IF(K240&gt;=1,"Mandar seguimiento (24-48h)","Esperar respuesta"),"Enviar primer mensaje")))))</f>
        <v>Enviar primer mensaje</v>
      </c>
      <c r="M240" s="4" t="str">
        <f aca="true">IF(OR(L240="Sin info, no aplica",L240="Cerrado, no volver a tocar",L240="Cliente, no prospectar"),"",IF(I240="enviado",DATEVALUE(A240)+2,IF(I240="respondio",TODAY(),"")))</f>
        <v/>
      </c>
    </row>
    <row r="241" customFormat="false" ht="15" hidden="false" customHeight="false" outlineLevel="0" collapsed="false">
      <c r="A241" s="2" t="s">
        <v>826</v>
      </c>
      <c r="B241" s="2" t="s">
        <v>865</v>
      </c>
      <c r="C241" s="2" t="s">
        <v>98</v>
      </c>
      <c r="D241" s="2" t="s">
        <v>866</v>
      </c>
      <c r="E241" s="3" t="n">
        <v>3</v>
      </c>
      <c r="F241" s="3" t="n">
        <v>5</v>
      </c>
      <c r="G241" s="2" t="s">
        <v>17</v>
      </c>
      <c r="H241" s="2" t="s">
        <v>867</v>
      </c>
      <c r="I241" s="2" t="s">
        <v>19</v>
      </c>
      <c r="J241" s="2" t="s">
        <v>868</v>
      </c>
      <c r="K241" s="3" t="n">
        <f aca="true">IFERROR(DATEDIF(DATEVALUE(A241),TODAY(),"d"),"")</f>
        <v>1</v>
      </c>
      <c r="L241" s="2" t="str">
        <f aca="false">IF(OR(E241="",H241="",H241="anotado sin numero"),"Sin info, no aplica",IF(I241="no","Cerrado, no volver a tocar",IF(I241="vendido","Cliente, no prospectar",IF(I241="respondio","Atender la conversacion hoy",IF(I241="enviado",IF(K241&gt;=1,"Mandar seguimiento (24-48h)","Esperar respuesta"),"Enviar primer mensaje")))))</f>
        <v>Enviar primer mensaje</v>
      </c>
      <c r="M241" s="4" t="str">
        <f aca="true">IF(OR(L241="Sin info, no aplica",L241="Cerrado, no volver a tocar",L241="Cliente, no prospectar"),"",IF(I241="enviado",DATEVALUE(A241)+2,IF(I241="respondio",TODAY(),"")))</f>
        <v/>
      </c>
    </row>
    <row r="242" customFormat="false" ht="15" hidden="false" customHeight="false" outlineLevel="0" collapsed="false">
      <c r="A242" s="2" t="s">
        <v>826</v>
      </c>
      <c r="B242" s="2" t="s">
        <v>869</v>
      </c>
      <c r="C242" s="2" t="s">
        <v>98</v>
      </c>
      <c r="D242" s="2" t="s">
        <v>870</v>
      </c>
      <c r="E242" s="3" t="n">
        <v>7</v>
      </c>
      <c r="F242" s="3" t="n">
        <v>5</v>
      </c>
      <c r="G242" s="2" t="s">
        <v>17</v>
      </c>
      <c r="H242" s="2" t="s">
        <v>871</v>
      </c>
      <c r="I242" s="2" t="s">
        <v>19</v>
      </c>
      <c r="J242" s="2" t="s">
        <v>872</v>
      </c>
      <c r="K242" s="3" t="n">
        <f aca="true">IFERROR(DATEDIF(DATEVALUE(A242),TODAY(),"d"),"")</f>
        <v>1</v>
      </c>
      <c r="L242" s="2" t="str">
        <f aca="false">IF(OR(E242="",H242="",H242="anotado sin numero"),"Sin info, no aplica",IF(I242="no","Cerrado, no volver a tocar",IF(I242="vendido","Cliente, no prospectar",IF(I242="respondio","Atender la conversacion hoy",IF(I242="enviado",IF(K242&gt;=1,"Mandar seguimiento (24-48h)","Esperar respuesta"),"Enviar primer mensaje")))))</f>
        <v>Enviar primer mensaje</v>
      </c>
      <c r="M242" s="4" t="str">
        <f aca="true">IF(OR(L242="Sin info, no aplica",L242="Cerrado, no volver a tocar",L242="Cliente, no prospectar"),"",IF(I242="enviado",DATEVALUE(A242)+2,IF(I242="respondio",TODAY(),"")))</f>
        <v/>
      </c>
    </row>
    <row r="243" customFormat="false" ht="15" hidden="false" customHeight="false" outlineLevel="0" collapsed="false">
      <c r="A243" s="2" t="s">
        <v>826</v>
      </c>
      <c r="B243" s="2" t="s">
        <v>873</v>
      </c>
      <c r="C243" s="2" t="s">
        <v>448</v>
      </c>
      <c r="D243" s="2" t="s">
        <v>16</v>
      </c>
      <c r="E243" s="3" t="n">
        <v>13</v>
      </c>
      <c r="F243" s="3" t="n">
        <v>4.7</v>
      </c>
      <c r="G243" s="2"/>
      <c r="H243" s="2" t="s">
        <v>874</v>
      </c>
      <c r="I243" s="2" t="s">
        <v>19</v>
      </c>
      <c r="J243" s="2" t="s">
        <v>875</v>
      </c>
      <c r="K243" s="3" t="n">
        <f aca="true">IFERROR(DATEDIF(DATEVALUE(A243),TODAY(),"d"),"")</f>
        <v>1</v>
      </c>
      <c r="L243" s="2" t="str">
        <f aca="false">IF(OR(E243="",H243="",H243="anotado sin numero"),"Sin info, no aplica",IF(I243="no","Cerrado, no volver a tocar",IF(I243="vendido","Cliente, no prospectar",IF(I243="respondio","Atender la conversacion hoy",IF(I243="enviado",IF(K243&gt;=1,"Mandar seguimiento (24-48h)","Esperar respuesta"),"Enviar primer mensaje")))))</f>
        <v>Enviar primer mensaje</v>
      </c>
      <c r="M243" s="4" t="str">
        <f aca="true">IF(OR(L243="Sin info, no aplica",L243="Cerrado, no volver a tocar",L243="Cliente, no prospectar"),"",IF(I243="enviado",DATEVALUE(A243)+2,IF(I243="respondio",TODAY(),"")))</f>
        <v/>
      </c>
    </row>
    <row r="244" customFormat="false" ht="15" hidden="false" customHeight="false" outlineLevel="0" collapsed="false">
      <c r="A244" s="2" t="s">
        <v>826</v>
      </c>
      <c r="B244" s="2" t="s">
        <v>876</v>
      </c>
      <c r="C244" s="2" t="s">
        <v>98</v>
      </c>
      <c r="D244" s="2" t="s">
        <v>877</v>
      </c>
      <c r="E244" s="3" t="n">
        <v>4</v>
      </c>
      <c r="F244" s="3" t="n">
        <v>4.8</v>
      </c>
      <c r="G244" s="2"/>
      <c r="H244" s="2" t="s">
        <v>874</v>
      </c>
      <c r="I244" s="2" t="s">
        <v>19</v>
      </c>
      <c r="J244" s="2" t="s">
        <v>878</v>
      </c>
      <c r="K244" s="3" t="n">
        <f aca="true">IFERROR(DATEDIF(DATEVALUE(A244),TODAY(),"d"),"")</f>
        <v>1</v>
      </c>
      <c r="L244" s="2" t="str">
        <f aca="false">IF(OR(E244="",H244="",H244="anotado sin numero"),"Sin info, no aplica",IF(I244="no","Cerrado, no volver a tocar",IF(I244="vendido","Cliente, no prospectar",IF(I244="respondio","Atender la conversacion hoy",IF(I244="enviado",IF(K244&gt;=1,"Mandar seguimiento (24-48h)","Esperar respuesta"),"Enviar primer mensaje")))))</f>
        <v>Enviar primer mensaje</v>
      </c>
      <c r="M244" s="4" t="str">
        <f aca="true">IF(OR(L244="Sin info, no aplica",L244="Cerrado, no volver a tocar",L244="Cliente, no prospectar"),"",IF(I244="enviado",DATEVALUE(A244)+2,IF(I244="respondio",TODAY(),"")))</f>
        <v/>
      </c>
    </row>
    <row r="245" customFormat="false" ht="15" hidden="false" customHeight="false" outlineLevel="0" collapsed="false">
      <c r="A245" s="2" t="s">
        <v>826</v>
      </c>
      <c r="B245" s="2" t="s">
        <v>879</v>
      </c>
      <c r="C245" s="2" t="s">
        <v>880</v>
      </c>
      <c r="D245" s="2" t="s">
        <v>881</v>
      </c>
      <c r="E245" s="3" t="n">
        <v>11</v>
      </c>
      <c r="F245" s="3" t="n">
        <v>5</v>
      </c>
      <c r="G245" s="2" t="s">
        <v>17</v>
      </c>
      <c r="H245" s="2" t="s">
        <v>882</v>
      </c>
      <c r="I245" s="2" t="s">
        <v>59</v>
      </c>
      <c r="J245" s="2" t="s">
        <v>883</v>
      </c>
      <c r="K245" s="3" t="n">
        <f aca="true">IFERROR(DATEDIF(DATEVALUE(A245),TODAY(),"d"),"")</f>
        <v>1</v>
      </c>
      <c r="L245" s="2" t="str">
        <f aca="false">IF(OR(E245="",H245="",H245="anotado sin numero"),"Sin info, no aplica",IF(I245="no","Cerrado, no volver a tocar",IF(I245="vendido","Cliente, no prospectar",IF(I245="respondio","Atender la conversacion hoy",IF(I245="enviado",IF(K245&gt;=1,"Mandar seguimiento (24-48h)","Esperar respuesta"),"Enviar primer mensaje")))))</f>
        <v>Atender la conversacion hoy</v>
      </c>
      <c r="M245" s="4" t="n">
        <f aca="true">IF(OR(L245="Sin info, no aplica",L245="Cerrado, no volver a tocar",L245="Cliente, no prospectar"),"",IF(I245="enviado",DATEVALUE(A245)+2,IF(I245="respondio",TODAY(),"")))</f>
        <v>46301</v>
      </c>
    </row>
    <row r="246" customFormat="false" ht="15" hidden="false" customHeight="false" outlineLevel="0" collapsed="false">
      <c r="A246" s="2" t="s">
        <v>826</v>
      </c>
      <c r="B246" s="2" t="s">
        <v>884</v>
      </c>
      <c r="C246" s="2" t="s">
        <v>885</v>
      </c>
      <c r="D246" s="2" t="s">
        <v>886</v>
      </c>
      <c r="E246" s="3" t="n">
        <v>10</v>
      </c>
      <c r="F246" s="3" t="n">
        <v>5</v>
      </c>
      <c r="G246" s="2" t="s">
        <v>17</v>
      </c>
      <c r="H246" s="2" t="s">
        <v>887</v>
      </c>
      <c r="I246" s="2" t="s">
        <v>59</v>
      </c>
      <c r="J246" s="2" t="s">
        <v>888</v>
      </c>
      <c r="K246" s="3" t="n">
        <f aca="true">IFERROR(DATEDIF(DATEVALUE(A246),TODAY(),"d"),"")</f>
        <v>1</v>
      </c>
      <c r="L246" s="2" t="str">
        <f aca="false">IF(OR(E246="",H246="",H246="anotado sin numero"),"Sin info, no aplica",IF(I246="no","Cerrado, no volver a tocar",IF(I246="vendido","Cliente, no prospectar",IF(I246="respondio","Atender la conversacion hoy",IF(I246="enviado",IF(K246&gt;=1,"Mandar seguimiento (24-48h)","Esperar respuesta"),"Enviar primer mensaje")))))</f>
        <v>Atender la conversacion hoy</v>
      </c>
      <c r="M246" s="4" t="n">
        <f aca="true">IF(OR(L246="Sin info, no aplica",L246="Cerrado, no volver a tocar",L246="Cliente, no prospectar"),"",IF(I246="enviado",DATEVALUE(A246)+2,IF(I246="respondio",TODAY(),"")))</f>
        <v>46301</v>
      </c>
    </row>
    <row r="247" customFormat="false" ht="15" hidden="false" customHeight="false" outlineLevel="0" collapsed="false">
      <c r="A247" s="2" t="s">
        <v>826</v>
      </c>
      <c r="B247" s="2" t="s">
        <v>889</v>
      </c>
      <c r="C247" s="2" t="s">
        <v>98</v>
      </c>
      <c r="D247" s="2" t="s">
        <v>890</v>
      </c>
      <c r="E247" s="3" t="n">
        <v>10</v>
      </c>
      <c r="F247" s="3" t="n">
        <v>5</v>
      </c>
      <c r="G247" s="2" t="s">
        <v>17</v>
      </c>
      <c r="H247" s="2" t="s">
        <v>891</v>
      </c>
      <c r="I247" s="2" t="s">
        <v>19</v>
      </c>
      <c r="J247" s="2" t="s">
        <v>892</v>
      </c>
      <c r="K247" s="3" t="n">
        <f aca="true">IFERROR(DATEDIF(DATEVALUE(A247),TODAY(),"d"),"")</f>
        <v>1</v>
      </c>
      <c r="L247" s="2" t="str">
        <f aca="false">IF(OR(E247="",H247="",H247="anotado sin numero"),"Sin info, no aplica",IF(I247="no","Cerrado, no volver a tocar",IF(I247="vendido","Cliente, no prospectar",IF(I247="respondio","Atender la conversacion hoy",IF(I247="enviado",IF(K247&gt;=1,"Mandar seguimiento (24-48h)","Esperar respuesta"),"Enviar primer mensaje")))))</f>
        <v>Enviar primer mensaje</v>
      </c>
      <c r="M247" s="4" t="str">
        <f aca="true">IF(OR(L247="Sin info, no aplica",L247="Cerrado, no volver a tocar",L247="Cliente, no prospectar"),"",IF(I247="enviado",DATEVALUE(A247)+2,IF(I247="respondio",TODAY(),"")))</f>
        <v/>
      </c>
    </row>
    <row r="248" customFormat="false" ht="15" hidden="false" customHeight="false" outlineLevel="0" collapsed="false">
      <c r="A248" s="2" t="s">
        <v>826</v>
      </c>
      <c r="B248" s="2" t="s">
        <v>893</v>
      </c>
      <c r="C248" s="2" t="s">
        <v>894</v>
      </c>
      <c r="D248" s="2" t="s">
        <v>895</v>
      </c>
      <c r="E248" s="3" t="n">
        <v>11</v>
      </c>
      <c r="F248" s="3" t="n">
        <v>5</v>
      </c>
      <c r="G248" s="2" t="s">
        <v>17</v>
      </c>
      <c r="H248" s="2" t="s">
        <v>896</v>
      </c>
      <c r="I248" s="2" t="s">
        <v>19</v>
      </c>
      <c r="J248" s="2" t="s">
        <v>897</v>
      </c>
      <c r="K248" s="3" t="n">
        <f aca="true">IFERROR(DATEDIF(DATEVALUE(A248),TODAY(),"d"),"")</f>
        <v>1</v>
      </c>
      <c r="L248" s="2" t="str">
        <f aca="false">IF(OR(E248="",H248="",H248="anotado sin numero"),"Sin info, no aplica",IF(I248="no","Cerrado, no volver a tocar",IF(I248="vendido","Cliente, no prospectar",IF(I248="respondio","Atender la conversacion hoy",IF(I248="enviado",IF(K248&gt;=1,"Mandar seguimiento (24-48h)","Esperar respuesta"),"Enviar primer mensaje")))))</f>
        <v>Enviar primer mensaje</v>
      </c>
      <c r="M248" s="4" t="str">
        <f aca="true">IF(OR(L248="Sin info, no aplica",L248="Cerrado, no volver a tocar",L248="Cliente, no prospectar"),"",IF(I248="enviado",DATEVALUE(A248)+2,IF(I248="respondio",TODAY(),"")))</f>
        <v/>
      </c>
    </row>
    <row r="249" customFormat="false" ht="15" hidden="false" customHeight="false" outlineLevel="0" collapsed="false">
      <c r="A249" s="2" t="s">
        <v>826</v>
      </c>
      <c r="B249" s="2" t="s">
        <v>898</v>
      </c>
      <c r="C249" s="2" t="s">
        <v>98</v>
      </c>
      <c r="D249" s="2" t="s">
        <v>899</v>
      </c>
      <c r="E249" s="3" t="n">
        <v>14</v>
      </c>
      <c r="F249" s="3" t="n">
        <v>4.8</v>
      </c>
      <c r="G249" s="2" t="s">
        <v>17</v>
      </c>
      <c r="H249" s="2" t="s">
        <v>900</v>
      </c>
      <c r="I249" s="2" t="s">
        <v>19</v>
      </c>
      <c r="J249" s="2" t="s">
        <v>901</v>
      </c>
      <c r="K249" s="3" t="n">
        <f aca="true">IFERROR(DATEDIF(DATEVALUE(A249),TODAY(),"d"),"")</f>
        <v>1</v>
      </c>
      <c r="L249" s="2" t="str">
        <f aca="false">IF(OR(E249="",H249="",H249="anotado sin numero"),"Sin info, no aplica",IF(I249="no","Cerrado, no volver a tocar",IF(I249="vendido","Cliente, no prospectar",IF(I249="respondio","Atender la conversacion hoy",IF(I249="enviado",IF(K249&gt;=1,"Mandar seguimiento (24-48h)","Esperar respuesta"),"Enviar primer mensaje")))))</f>
        <v>Enviar primer mensaje</v>
      </c>
      <c r="M249" s="4" t="str">
        <f aca="true">IF(OR(L249="Sin info, no aplica",L249="Cerrado, no volver a tocar",L249="Cliente, no prospectar"),"",IF(I249="enviado",DATEVALUE(A249)+2,IF(I249="respondio",TODAY(),"")))</f>
        <v/>
      </c>
    </row>
    <row r="250" customFormat="false" ht="15" hidden="false" customHeight="false" outlineLevel="0" collapsed="false">
      <c r="A250" s="2" t="s">
        <v>826</v>
      </c>
      <c r="B250" s="2" t="s">
        <v>902</v>
      </c>
      <c r="C250" s="2" t="s">
        <v>98</v>
      </c>
      <c r="D250" s="2" t="s">
        <v>903</v>
      </c>
      <c r="E250" s="3" t="n">
        <v>7</v>
      </c>
      <c r="F250" s="3" t="n">
        <v>5</v>
      </c>
      <c r="G250" s="2" t="s">
        <v>17</v>
      </c>
      <c r="H250" s="2" t="s">
        <v>904</v>
      </c>
      <c r="I250" s="2" t="s">
        <v>59</v>
      </c>
      <c r="J250" s="2" t="s">
        <v>905</v>
      </c>
      <c r="K250" s="3" t="n">
        <f aca="true">IFERROR(DATEDIF(DATEVALUE(A250),TODAY(),"d"),"")</f>
        <v>1</v>
      </c>
      <c r="L250" s="2" t="str">
        <f aca="false">IF(OR(E250="",H250="",H250="anotado sin numero"),"Sin info, no aplica",IF(I250="no","Cerrado, no volver a tocar",IF(I250="vendido","Cliente, no prospectar",IF(I250="respondio","Atender la conversacion hoy",IF(I250="enviado",IF(K250&gt;=1,"Mandar seguimiento (24-48h)","Esperar respuesta"),"Enviar primer mensaje")))))</f>
        <v>Atender la conversacion hoy</v>
      </c>
      <c r="M250" s="4" t="n">
        <f aca="true">IF(OR(L250="Sin info, no aplica",L250="Cerrado, no volver a tocar",L250="Cliente, no prospectar"),"",IF(I250="enviado",DATEVALUE(A250)+2,IF(I250="respondio",TODAY(),"")))</f>
        <v>46301</v>
      </c>
    </row>
    <row r="251" customFormat="false" ht="15" hidden="false" customHeight="false" outlineLevel="0" collapsed="false">
      <c r="A251" s="2" t="s">
        <v>826</v>
      </c>
      <c r="B251" s="2" t="s">
        <v>906</v>
      </c>
      <c r="C251" s="2" t="s">
        <v>98</v>
      </c>
      <c r="D251" s="2" t="s">
        <v>907</v>
      </c>
      <c r="E251" s="3" t="n">
        <v>5</v>
      </c>
      <c r="F251" s="3" t="n">
        <v>5</v>
      </c>
      <c r="G251" s="2" t="s">
        <v>17</v>
      </c>
      <c r="H251" s="2" t="s">
        <v>908</v>
      </c>
      <c r="I251" s="2" t="s">
        <v>19</v>
      </c>
      <c r="J251" s="2" t="s">
        <v>909</v>
      </c>
      <c r="K251" s="3" t="n">
        <f aca="true">IFERROR(DATEDIF(DATEVALUE(A251),TODAY(),"d"),"")</f>
        <v>1</v>
      </c>
      <c r="L251" s="2" t="str">
        <f aca="false">IF(OR(E251="",H251="",H251="anotado sin numero"),"Sin info, no aplica",IF(I251="no","Cerrado, no volver a tocar",IF(I251="vendido","Cliente, no prospectar",IF(I251="respondio","Atender la conversacion hoy",IF(I251="enviado",IF(K251&gt;=1,"Mandar seguimiento (24-48h)","Esperar respuesta"),"Enviar primer mensaje")))))</f>
        <v>Enviar primer mensaje</v>
      </c>
      <c r="M251" s="4" t="str">
        <f aca="true">IF(OR(L251="Sin info, no aplica",L251="Cerrado, no volver a tocar",L251="Cliente, no prospectar"),"",IF(I251="enviado",DATEVALUE(A251)+2,IF(I251="respondio",TODAY(),"")))</f>
        <v/>
      </c>
    </row>
    <row r="252" customFormat="false" ht="15" hidden="false" customHeight="false" outlineLevel="0" collapsed="false">
      <c r="A252" s="2" t="s">
        <v>826</v>
      </c>
      <c r="B252" s="2" t="s">
        <v>910</v>
      </c>
      <c r="C252" s="2" t="s">
        <v>98</v>
      </c>
      <c r="D252" s="2" t="s">
        <v>911</v>
      </c>
      <c r="E252" s="3" t="n">
        <v>4</v>
      </c>
      <c r="F252" s="3" t="n">
        <v>5</v>
      </c>
      <c r="G252" s="2" t="s">
        <v>17</v>
      </c>
      <c r="H252" s="2" t="s">
        <v>912</v>
      </c>
      <c r="I252" s="2" t="s">
        <v>19</v>
      </c>
      <c r="J252" s="2" t="s">
        <v>913</v>
      </c>
      <c r="K252" s="3" t="n">
        <f aca="true">IFERROR(DATEDIF(DATEVALUE(A252),TODAY(),"d"),"")</f>
        <v>1</v>
      </c>
      <c r="L252" s="2" t="str">
        <f aca="false">IF(OR(E252="",H252="",H252="anotado sin numero"),"Sin info, no aplica",IF(I252="no","Cerrado, no volver a tocar",IF(I252="vendido","Cliente, no prospectar",IF(I252="respondio","Atender la conversacion hoy",IF(I252="enviado",IF(K252&gt;=1,"Mandar seguimiento (24-48h)","Esperar respuesta"),"Enviar primer mensaje")))))</f>
        <v>Enviar primer mensaje</v>
      </c>
      <c r="M252" s="4" t="str">
        <f aca="true">IF(OR(L252="Sin info, no aplica",L252="Cerrado, no volver a tocar",L252="Cliente, no prospectar"),"",IF(I252="enviado",DATEVALUE(A252)+2,IF(I252="respondio",TODAY(),"")))</f>
        <v/>
      </c>
    </row>
    <row r="253" customFormat="false" ht="15" hidden="false" customHeight="false" outlineLevel="0" collapsed="false">
      <c r="A253" s="2" t="s">
        <v>826</v>
      </c>
      <c r="B253" s="2" t="s">
        <v>914</v>
      </c>
      <c r="C253" s="2" t="s">
        <v>98</v>
      </c>
      <c r="D253" s="2" t="s">
        <v>915</v>
      </c>
      <c r="E253" s="3" t="n">
        <v>2</v>
      </c>
      <c r="F253" s="3" t="n">
        <v>5</v>
      </c>
      <c r="G253" s="2" t="s">
        <v>17</v>
      </c>
      <c r="H253" s="2" t="s">
        <v>916</v>
      </c>
      <c r="I253" s="2" t="s">
        <v>19</v>
      </c>
      <c r="J253" s="2" t="s">
        <v>917</v>
      </c>
      <c r="K253" s="3" t="n">
        <f aca="true">IFERROR(DATEDIF(DATEVALUE(A253),TODAY(),"d"),"")</f>
        <v>1</v>
      </c>
      <c r="L253" s="2" t="str">
        <f aca="false">IF(OR(E253="",H253="",H253="anotado sin numero"),"Sin info, no aplica",IF(I253="no","Cerrado, no volver a tocar",IF(I253="vendido","Cliente, no prospectar",IF(I253="respondio","Atender la conversacion hoy",IF(I253="enviado",IF(K253&gt;=1,"Mandar seguimiento (24-48h)","Esperar respuesta"),"Enviar primer mensaje")))))</f>
        <v>Enviar primer mensaje</v>
      </c>
      <c r="M253" s="4" t="str">
        <f aca="true">IF(OR(L253="Sin info, no aplica",L253="Cerrado, no volver a tocar",L253="Cliente, no prospectar"),"",IF(I253="enviado",DATEVALUE(A253)+2,IF(I253="respondio",TODAY(),"")))</f>
        <v/>
      </c>
    </row>
    <row r="254" customFormat="false" ht="15" hidden="false" customHeight="false" outlineLevel="0" collapsed="false">
      <c r="A254" s="2" t="s">
        <v>826</v>
      </c>
      <c r="B254" s="2" t="s">
        <v>918</v>
      </c>
      <c r="C254" s="2" t="s">
        <v>919</v>
      </c>
      <c r="D254" s="2" t="s">
        <v>920</v>
      </c>
      <c r="E254" s="3" t="n">
        <v>2</v>
      </c>
      <c r="F254" s="3" t="n">
        <v>5</v>
      </c>
      <c r="G254" s="2" t="s">
        <v>17</v>
      </c>
      <c r="H254" s="2" t="s">
        <v>921</v>
      </c>
      <c r="I254" s="2" t="s">
        <v>19</v>
      </c>
      <c r="J254" s="2" t="s">
        <v>922</v>
      </c>
      <c r="K254" s="3" t="n">
        <f aca="true">IFERROR(DATEDIF(DATEVALUE(A254),TODAY(),"d"),"")</f>
        <v>1</v>
      </c>
      <c r="L254" s="2" t="str">
        <f aca="false">IF(OR(E254="",H254="",H254="anotado sin numero"),"Sin info, no aplica",IF(I254="no","Cerrado, no volver a tocar",IF(I254="vendido","Cliente, no prospectar",IF(I254="respondio","Atender la conversacion hoy",IF(I254="enviado",IF(K254&gt;=1,"Mandar seguimiento (24-48h)","Esperar respuesta"),"Enviar primer mensaje")))))</f>
        <v>Enviar primer mensaje</v>
      </c>
      <c r="M254" s="4" t="str">
        <f aca="true">IF(OR(L254="Sin info, no aplica",L254="Cerrado, no volver a tocar",L254="Cliente, no prospectar"),"",IF(I254="enviado",DATEVALUE(A254)+2,IF(I254="respondio",TODAY(),"")))</f>
        <v/>
      </c>
    </row>
    <row r="255" customFormat="false" ht="15" hidden="false" customHeight="false" outlineLevel="0" collapsed="false">
      <c r="A255" s="2" t="s">
        <v>826</v>
      </c>
      <c r="B255" s="2" t="s">
        <v>923</v>
      </c>
      <c r="C255" s="2" t="s">
        <v>924</v>
      </c>
      <c r="D255" s="2" t="s">
        <v>925</v>
      </c>
      <c r="E255" s="3" t="n">
        <v>7</v>
      </c>
      <c r="F255" s="3" t="n">
        <v>5</v>
      </c>
      <c r="G255" s="2" t="s">
        <v>49</v>
      </c>
      <c r="H255" s="2" t="s">
        <v>926</v>
      </c>
      <c r="I255" s="2" t="s">
        <v>19</v>
      </c>
      <c r="J255" s="2" t="s">
        <v>927</v>
      </c>
      <c r="K255" s="3" t="n">
        <f aca="true">IFERROR(DATEDIF(DATEVALUE(A255),TODAY(),"d"),"")</f>
        <v>1</v>
      </c>
      <c r="L255" s="2" t="str">
        <f aca="false">IF(OR(E255="",H255="",H255="anotado sin numero"),"Sin info, no aplica",IF(I255="no","Cerrado, no volver a tocar",IF(I255="vendido","Cliente, no prospectar",IF(I255="respondio","Atender la conversacion hoy",IF(I255="enviado",IF(K255&gt;=1,"Mandar seguimiento (24-48h)","Esperar respuesta"),"Enviar primer mensaje")))))</f>
        <v>Enviar primer mensaje</v>
      </c>
      <c r="M255" s="4" t="str">
        <f aca="true">IF(OR(L255="Sin info, no aplica",L255="Cerrado, no volver a tocar",L255="Cliente, no prospectar"),"",IF(I255="enviado",DATEVALUE(A255)+2,IF(I255="respondio",TODAY(),"")))</f>
        <v/>
      </c>
    </row>
    <row r="256" customFormat="false" ht="15" hidden="false" customHeight="false" outlineLevel="0" collapsed="false">
      <c r="A256" s="2" t="s">
        <v>826</v>
      </c>
      <c r="B256" s="2" t="s">
        <v>928</v>
      </c>
      <c r="C256" s="2" t="s">
        <v>15</v>
      </c>
      <c r="D256" s="2" t="s">
        <v>408</v>
      </c>
      <c r="E256" s="3" t="n">
        <v>8</v>
      </c>
      <c r="F256" s="3" t="n">
        <v>4.9</v>
      </c>
      <c r="G256" s="2" t="s">
        <v>17</v>
      </c>
      <c r="H256" s="2" t="s">
        <v>929</v>
      </c>
      <c r="I256" s="2" t="s">
        <v>19</v>
      </c>
      <c r="J256" s="2" t="s">
        <v>930</v>
      </c>
      <c r="K256" s="3" t="n">
        <f aca="true">IFERROR(DATEDIF(DATEVALUE(A256),TODAY(),"d"),"")</f>
        <v>1</v>
      </c>
      <c r="L256" s="2" t="str">
        <f aca="false">IF(OR(E256="",H256="",H256="anotado sin numero"),"Sin info, no aplica",IF(I256="no","Cerrado, no volver a tocar",IF(I256="vendido","Cliente, no prospectar",IF(I256="respondio","Atender la conversacion hoy",IF(I256="enviado",IF(K256&gt;=1,"Mandar seguimiento (24-48h)","Esperar respuesta"),"Enviar primer mensaje")))))</f>
        <v>Enviar primer mensaje</v>
      </c>
      <c r="M256" s="4" t="str">
        <f aca="true">IF(OR(L256="Sin info, no aplica",L256="Cerrado, no volver a tocar",L256="Cliente, no prospectar"),"",IF(I256="enviado",DATEVALUE(A256)+2,IF(I256="respondio",TODAY(),"")))</f>
        <v/>
      </c>
    </row>
    <row r="257" customFormat="false" ht="15" hidden="false" customHeight="false" outlineLevel="0" collapsed="false">
      <c r="A257" s="2" t="s">
        <v>826</v>
      </c>
      <c r="B257" s="2" t="s">
        <v>931</v>
      </c>
      <c r="C257" s="2" t="s">
        <v>15</v>
      </c>
      <c r="D257" s="2" t="s">
        <v>932</v>
      </c>
      <c r="E257" s="3" t="n">
        <v>11</v>
      </c>
      <c r="F257" s="3" t="n">
        <v>4.5</v>
      </c>
      <c r="G257" s="2" t="s">
        <v>17</v>
      </c>
      <c r="H257" s="2" t="s">
        <v>933</v>
      </c>
      <c r="I257" s="2" t="s">
        <v>19</v>
      </c>
      <c r="J257" s="2" t="s">
        <v>934</v>
      </c>
      <c r="K257" s="3" t="n">
        <f aca="true">IFERROR(DATEDIF(DATEVALUE(A257),TODAY(),"d"),"")</f>
        <v>1</v>
      </c>
      <c r="L257" s="2" t="str">
        <f aca="false">IF(OR(E257="",H257="",H257="anotado sin numero"),"Sin info, no aplica",IF(I257="no","Cerrado, no volver a tocar",IF(I257="vendido","Cliente, no prospectar",IF(I257="respondio","Atender la conversacion hoy",IF(I257="enviado",IF(K257&gt;=1,"Mandar seguimiento (24-48h)","Esperar respuesta"),"Enviar primer mensaje")))))</f>
        <v>Enviar primer mensaje</v>
      </c>
      <c r="M257" s="4" t="str">
        <f aca="true">IF(OR(L257="Sin info, no aplica",L257="Cerrado, no volver a tocar",L257="Cliente, no prospectar"),"",IF(I257="enviado",DATEVALUE(A257)+2,IF(I257="respondio",TODAY(),"")))</f>
        <v/>
      </c>
    </row>
    <row r="258" customFormat="false" ht="15" hidden="false" customHeight="false" outlineLevel="0" collapsed="false">
      <c r="A258" s="2" t="s">
        <v>826</v>
      </c>
      <c r="B258" s="2" t="s">
        <v>935</v>
      </c>
      <c r="C258" s="2" t="s">
        <v>15</v>
      </c>
      <c r="D258" s="2" t="s">
        <v>441</v>
      </c>
      <c r="E258" s="3" t="n">
        <v>7</v>
      </c>
      <c r="F258" s="3" t="n">
        <v>4.7</v>
      </c>
      <c r="G258" s="2" t="s">
        <v>17</v>
      </c>
      <c r="H258" s="2" t="s">
        <v>936</v>
      </c>
      <c r="I258" s="2" t="s">
        <v>19</v>
      </c>
      <c r="J258" s="2" t="s">
        <v>937</v>
      </c>
      <c r="K258" s="3" t="n">
        <f aca="true">IFERROR(DATEDIF(DATEVALUE(A258),TODAY(),"d"),"")</f>
        <v>1</v>
      </c>
      <c r="L258" s="2" t="str">
        <f aca="false">IF(OR(E258="",H258="",H258="anotado sin numero"),"Sin info, no aplica",IF(I258="no","Cerrado, no volver a tocar",IF(I258="vendido","Cliente, no prospectar",IF(I258="respondio","Atender la conversacion hoy",IF(I258="enviado",IF(K258&gt;=1,"Mandar seguimiento (24-48h)","Esperar respuesta"),"Enviar primer mensaje")))))</f>
        <v>Enviar primer mensaje</v>
      </c>
      <c r="M258" s="4" t="str">
        <f aca="true">IF(OR(L258="Sin info, no aplica",L258="Cerrado, no volver a tocar",L258="Cliente, no prospectar"),"",IF(I258="enviado",DATEVALUE(A258)+2,IF(I258="respondio",TODAY(),"")))</f>
        <v/>
      </c>
    </row>
    <row r="259" customFormat="false" ht="15" hidden="false" customHeight="false" outlineLevel="0" collapsed="false">
      <c r="A259" s="2" t="s">
        <v>826</v>
      </c>
      <c r="B259" s="2" t="s">
        <v>938</v>
      </c>
      <c r="C259" s="2" t="s">
        <v>15</v>
      </c>
      <c r="D259" s="2" t="s">
        <v>939</v>
      </c>
      <c r="E259" s="3" t="n">
        <v>7</v>
      </c>
      <c r="F259" s="3" t="n">
        <v>5</v>
      </c>
      <c r="G259" s="2" t="s">
        <v>17</v>
      </c>
      <c r="H259" s="2" t="s">
        <v>940</v>
      </c>
      <c r="I259" s="2" t="s">
        <v>19</v>
      </c>
      <c r="J259" s="2" t="s">
        <v>941</v>
      </c>
      <c r="K259" s="3" t="n">
        <f aca="true">IFERROR(DATEDIF(DATEVALUE(A259),TODAY(),"d"),"")</f>
        <v>1</v>
      </c>
      <c r="L259" s="2" t="str">
        <f aca="false">IF(OR(E259="",H259="",H259="anotado sin numero"),"Sin info, no aplica",IF(I259="no","Cerrado, no volver a tocar",IF(I259="vendido","Cliente, no prospectar",IF(I259="respondio","Atender la conversacion hoy",IF(I259="enviado",IF(K259&gt;=1,"Mandar seguimiento (24-48h)","Esperar respuesta"),"Enviar primer mensaje")))))</f>
        <v>Enviar primer mensaje</v>
      </c>
      <c r="M259" s="4" t="str">
        <f aca="true">IF(OR(L259="Sin info, no aplica",L259="Cerrado, no volver a tocar",L259="Cliente, no prospectar"),"",IF(I259="enviado",DATEVALUE(A259)+2,IF(I259="respondio",TODAY(),"")))</f>
        <v/>
      </c>
    </row>
    <row r="260" customFormat="false" ht="15" hidden="false" customHeight="false" outlineLevel="0" collapsed="false">
      <c r="A260" s="2" t="s">
        <v>826</v>
      </c>
      <c r="B260" s="2" t="s">
        <v>942</v>
      </c>
      <c r="C260" s="2" t="s">
        <v>15</v>
      </c>
      <c r="D260" s="2" t="s">
        <v>943</v>
      </c>
      <c r="E260" s="3" t="n">
        <v>3</v>
      </c>
      <c r="F260" s="3" t="n">
        <v>5</v>
      </c>
      <c r="G260" s="2" t="s">
        <v>17</v>
      </c>
      <c r="H260" s="2" t="s">
        <v>944</v>
      </c>
      <c r="I260" s="2" t="s">
        <v>19</v>
      </c>
      <c r="J260" s="2" t="s">
        <v>945</v>
      </c>
      <c r="K260" s="3" t="n">
        <f aca="true">IFERROR(DATEDIF(DATEVALUE(A260),TODAY(),"d"),"")</f>
        <v>1</v>
      </c>
      <c r="L260" s="2" t="str">
        <f aca="false">IF(OR(E260="",H260="",H260="anotado sin numero"),"Sin info, no aplica",IF(I260="no","Cerrado, no volver a tocar",IF(I260="vendido","Cliente, no prospectar",IF(I260="respondio","Atender la conversacion hoy",IF(I260="enviado",IF(K260&gt;=1,"Mandar seguimiento (24-48h)","Esperar respuesta"),"Enviar primer mensaje")))))</f>
        <v>Enviar primer mensaje</v>
      </c>
      <c r="M260" s="4" t="str">
        <f aca="true">IF(OR(L260="Sin info, no aplica",L260="Cerrado, no volver a tocar",L260="Cliente, no prospectar"),"",IF(I260="enviado",DATEVALUE(A260)+2,IF(I260="respondio",TODAY(),"")))</f>
        <v/>
      </c>
    </row>
    <row r="261" customFormat="false" ht="15" hidden="false" customHeight="false" outlineLevel="0" collapsed="false">
      <c r="A261" s="2" t="s">
        <v>826</v>
      </c>
      <c r="B261" s="2" t="s">
        <v>946</v>
      </c>
      <c r="C261" s="2" t="s">
        <v>15</v>
      </c>
      <c r="D261" s="2" t="s">
        <v>947</v>
      </c>
      <c r="E261" s="3" t="n">
        <v>3</v>
      </c>
      <c r="F261" s="3" t="n">
        <v>4.3</v>
      </c>
      <c r="G261" s="2" t="s">
        <v>17</v>
      </c>
      <c r="H261" s="2" t="s">
        <v>948</v>
      </c>
      <c r="I261" s="2" t="s">
        <v>19</v>
      </c>
      <c r="J261" s="2" t="s">
        <v>949</v>
      </c>
      <c r="K261" s="3" t="n">
        <f aca="true">IFERROR(DATEDIF(DATEVALUE(A261),TODAY(),"d"),"")</f>
        <v>1</v>
      </c>
      <c r="L261" s="2" t="str">
        <f aca="false">IF(OR(E261="",H261="",H261="anotado sin numero"),"Sin info, no aplica",IF(I261="no","Cerrado, no volver a tocar",IF(I261="vendido","Cliente, no prospectar",IF(I261="respondio","Atender la conversacion hoy",IF(I261="enviado",IF(K261&gt;=1,"Mandar seguimiento (24-48h)","Esperar respuesta"),"Enviar primer mensaje")))))</f>
        <v>Enviar primer mensaje</v>
      </c>
      <c r="M261" s="4" t="str">
        <f aca="true">IF(OR(L261="Sin info, no aplica",L261="Cerrado, no volver a tocar",L261="Cliente, no prospectar"),"",IF(I261="enviado",DATEVALUE(A261)+2,IF(I261="respondio",TODAY(),"")))</f>
        <v/>
      </c>
    </row>
    <row r="262" customFormat="false" ht="15" hidden="false" customHeight="false" outlineLevel="0" collapsed="false">
      <c r="A262" s="2" t="s">
        <v>826</v>
      </c>
      <c r="B262" s="2" t="s">
        <v>950</v>
      </c>
      <c r="C262" s="2" t="s">
        <v>107</v>
      </c>
      <c r="D262" s="2" t="s">
        <v>441</v>
      </c>
      <c r="E262" s="3" t="n">
        <v>3</v>
      </c>
      <c r="F262" s="3" t="n">
        <v>5</v>
      </c>
      <c r="G262" s="2" t="s">
        <v>17</v>
      </c>
      <c r="H262" s="2" t="s">
        <v>951</v>
      </c>
      <c r="I262" s="2" t="s">
        <v>19</v>
      </c>
      <c r="J262" s="2" t="s">
        <v>952</v>
      </c>
      <c r="K262" s="3" t="n">
        <f aca="true">IFERROR(DATEDIF(DATEVALUE(A262),TODAY(),"d"),"")</f>
        <v>1</v>
      </c>
      <c r="L262" s="2" t="str">
        <f aca="false">IF(OR(E262="",H262="",H262="anotado sin numero"),"Sin info, no aplica",IF(I262="no","Cerrado, no volver a tocar",IF(I262="vendido","Cliente, no prospectar",IF(I262="respondio","Atender la conversacion hoy",IF(I262="enviado",IF(K262&gt;=1,"Mandar seguimiento (24-48h)","Esperar respuesta"),"Enviar primer mensaje")))))</f>
        <v>Enviar primer mensaje</v>
      </c>
      <c r="M262" s="4" t="str">
        <f aca="true">IF(OR(L262="Sin info, no aplica",L262="Cerrado, no volver a tocar",L262="Cliente, no prospectar"),"",IF(I262="enviado",DATEVALUE(A262)+2,IF(I262="respondio",TODAY(),"")))</f>
        <v/>
      </c>
    </row>
    <row r="263" customFormat="false" ht="15" hidden="false" customHeight="false" outlineLevel="0" collapsed="false">
      <c r="A263" s="2" t="s">
        <v>826</v>
      </c>
      <c r="B263" s="2" t="s">
        <v>953</v>
      </c>
      <c r="C263" s="2" t="s">
        <v>954</v>
      </c>
      <c r="D263" s="2" t="s">
        <v>186</v>
      </c>
      <c r="E263" s="3" t="n">
        <v>5</v>
      </c>
      <c r="F263" s="3" t="n">
        <v>5</v>
      </c>
      <c r="G263" s="2" t="s">
        <v>17</v>
      </c>
      <c r="H263" s="2" t="s">
        <v>955</v>
      </c>
      <c r="I263" s="2" t="s">
        <v>19</v>
      </c>
      <c r="J263" s="2" t="s">
        <v>956</v>
      </c>
      <c r="K263" s="3" t="n">
        <f aca="true">IFERROR(DATEDIF(DATEVALUE(A263),TODAY(),"d"),"")</f>
        <v>1</v>
      </c>
      <c r="L263" s="2" t="str">
        <f aca="false">IF(OR(E263="",H263="",H263="anotado sin numero"),"Sin info, no aplica",IF(I263="no","Cerrado, no volver a tocar",IF(I263="vendido","Cliente, no prospectar",IF(I263="respondio","Atender la conversacion hoy",IF(I263="enviado",IF(K263&gt;=1,"Mandar seguimiento (24-48h)","Esperar respuesta"),"Enviar primer mensaje")))))</f>
        <v>Enviar primer mensaje</v>
      </c>
      <c r="M263" s="4" t="str">
        <f aca="true">IF(OR(L263="Sin info, no aplica",L263="Cerrado, no volver a tocar",L263="Cliente, no prospectar"),"",IF(I263="enviado",DATEVALUE(A263)+2,IF(I263="respondio",TODAY(),"")))</f>
        <v/>
      </c>
    </row>
    <row r="264" customFormat="false" ht="15" hidden="false" customHeight="false" outlineLevel="0" collapsed="false">
      <c r="A264" s="2" t="s">
        <v>826</v>
      </c>
      <c r="B264" s="2" t="s">
        <v>957</v>
      </c>
      <c r="C264" s="2" t="s">
        <v>107</v>
      </c>
      <c r="D264" s="2" t="s">
        <v>441</v>
      </c>
      <c r="E264" s="3" t="n">
        <v>5</v>
      </c>
      <c r="F264" s="3" t="n">
        <v>4.4</v>
      </c>
      <c r="G264" s="2" t="s">
        <v>17</v>
      </c>
      <c r="H264" s="2" t="s">
        <v>958</v>
      </c>
      <c r="I264" s="2" t="s">
        <v>19</v>
      </c>
      <c r="J264" s="2" t="s">
        <v>959</v>
      </c>
      <c r="K264" s="3" t="n">
        <f aca="true">IFERROR(DATEDIF(DATEVALUE(A264),TODAY(),"d"),"")</f>
        <v>1</v>
      </c>
      <c r="L264" s="2" t="str">
        <f aca="false">IF(OR(E264="",H264="",H264="anotado sin numero"),"Sin info, no aplica",IF(I264="no","Cerrado, no volver a tocar",IF(I264="vendido","Cliente, no prospectar",IF(I264="respondio","Atender la conversacion hoy",IF(I264="enviado",IF(K264&gt;=1,"Mandar seguimiento (24-48h)","Esperar respuesta"),"Enviar primer mensaje")))))</f>
        <v>Enviar primer mensaje</v>
      </c>
      <c r="M264" s="4" t="str">
        <f aca="true">IF(OR(L264="Sin info, no aplica",L264="Cerrado, no volver a tocar",L264="Cliente, no prospectar"),"",IF(I264="enviado",DATEVALUE(A264)+2,IF(I264="respondio",TODAY(),"")))</f>
        <v/>
      </c>
    </row>
    <row r="265" customFormat="false" ht="15" hidden="false" customHeight="false" outlineLevel="0" collapsed="false">
      <c r="A265" s="2" t="s">
        <v>826</v>
      </c>
      <c r="B265" s="2" t="s">
        <v>960</v>
      </c>
      <c r="C265" s="2" t="s">
        <v>444</v>
      </c>
      <c r="D265" s="2" t="s">
        <v>961</v>
      </c>
      <c r="E265" s="3" t="n">
        <v>1</v>
      </c>
      <c r="F265" s="3" t="n">
        <v>5</v>
      </c>
      <c r="G265" s="2" t="s">
        <v>17</v>
      </c>
      <c r="H265" s="2" t="s">
        <v>962</v>
      </c>
      <c r="I265" s="2" t="s">
        <v>19</v>
      </c>
      <c r="J265" s="2" t="s">
        <v>963</v>
      </c>
      <c r="K265" s="3" t="n">
        <f aca="true">IFERROR(DATEDIF(DATEVALUE(A265),TODAY(),"d"),"")</f>
        <v>1</v>
      </c>
      <c r="L265" s="2" t="str">
        <f aca="false">IF(OR(E265="",H265="",H265="anotado sin numero"),"Sin info, no aplica",IF(I265="no","Cerrado, no volver a tocar",IF(I265="vendido","Cliente, no prospectar",IF(I265="respondio","Atender la conversacion hoy",IF(I265="enviado",IF(K265&gt;=1,"Mandar seguimiento (24-48h)","Esperar respuesta"),"Enviar primer mensaje")))))</f>
        <v>Enviar primer mensaje</v>
      </c>
      <c r="M265" s="4" t="str">
        <f aca="true">IF(OR(L265="Sin info, no aplica",L265="Cerrado, no volver a tocar",L265="Cliente, no prospectar"),"",IF(I265="enviado",DATEVALUE(A265)+2,IF(I265="respondio",TODAY(),"")))</f>
        <v/>
      </c>
    </row>
    <row r="266" customFormat="false" ht="15" hidden="false" customHeight="false" outlineLevel="0" collapsed="false">
      <c r="A266" s="2" t="s">
        <v>826</v>
      </c>
      <c r="B266" s="2" t="s">
        <v>964</v>
      </c>
      <c r="C266" s="2" t="s">
        <v>15</v>
      </c>
      <c r="D266" s="2" t="s">
        <v>737</v>
      </c>
      <c r="E266" s="3" t="n">
        <v>4</v>
      </c>
      <c r="F266" s="3" t="n">
        <v>5</v>
      </c>
      <c r="G266" s="2" t="s">
        <v>49</v>
      </c>
      <c r="H266" s="2" t="s">
        <v>965</v>
      </c>
      <c r="I266" s="2" t="s">
        <v>19</v>
      </c>
      <c r="J266" s="2" t="s">
        <v>966</v>
      </c>
      <c r="K266" s="3" t="n">
        <f aca="true">IFERROR(DATEDIF(DATEVALUE(A266),TODAY(),"d"),"")</f>
        <v>1</v>
      </c>
      <c r="L266" s="2" t="str">
        <f aca="false">IF(OR(E266="",H266="",H266="anotado sin numero"),"Sin info, no aplica",IF(I266="no","Cerrado, no volver a tocar",IF(I266="vendido","Cliente, no prospectar",IF(I266="respondio","Atender la conversacion hoy",IF(I266="enviado",IF(K266&gt;=1,"Mandar seguimiento (24-48h)","Esperar respuesta"),"Enviar primer mensaje")))))</f>
        <v>Enviar primer mensaje</v>
      </c>
      <c r="M266" s="4" t="str">
        <f aca="true">IF(OR(L266="Sin info, no aplica",L266="Cerrado, no volver a tocar",L266="Cliente, no prospectar"),"",IF(I266="enviado",DATEVALUE(A266)+2,IF(I266="respondio",TODAY(),"")))</f>
        <v/>
      </c>
    </row>
    <row r="267" customFormat="false" ht="15" hidden="false" customHeight="false" outlineLevel="0" collapsed="false">
      <c r="A267" s="2" t="s">
        <v>826</v>
      </c>
      <c r="B267" s="2" t="s">
        <v>967</v>
      </c>
      <c r="C267" s="2" t="s">
        <v>444</v>
      </c>
      <c r="D267" s="2" t="s">
        <v>186</v>
      </c>
      <c r="E267" s="3" t="n">
        <v>4</v>
      </c>
      <c r="F267" s="3" t="n">
        <v>4.8</v>
      </c>
      <c r="G267" s="2" t="s">
        <v>49</v>
      </c>
      <c r="H267" s="2" t="s">
        <v>968</v>
      </c>
      <c r="I267" s="2" t="s">
        <v>19</v>
      </c>
      <c r="J267" s="2" t="s">
        <v>969</v>
      </c>
      <c r="K267" s="3" t="n">
        <f aca="true">IFERROR(DATEDIF(DATEVALUE(A267),TODAY(),"d"),"")</f>
        <v>1</v>
      </c>
      <c r="L267" s="2" t="str">
        <f aca="false">IF(OR(E267="",H267="",H267="anotado sin numero"),"Sin info, no aplica",IF(I267="no","Cerrado, no volver a tocar",IF(I267="vendido","Cliente, no prospectar",IF(I267="respondio","Atender la conversacion hoy",IF(I267="enviado",IF(K267&gt;=1,"Mandar seguimiento (24-48h)","Esperar respuesta"),"Enviar primer mensaje")))))</f>
        <v>Enviar primer mensaje</v>
      </c>
      <c r="M267" s="4" t="str">
        <f aca="true">IF(OR(L267="Sin info, no aplica",L267="Cerrado, no volver a tocar",L267="Cliente, no prospectar"),"",IF(I267="enviado",DATEVALUE(A267)+2,IF(I267="respondio",TODAY(),"")))</f>
        <v/>
      </c>
    </row>
    <row r="268" customFormat="false" ht="15" hidden="false" customHeight="false" outlineLevel="0" collapsed="false">
      <c r="A268" s="2" t="s">
        <v>970</v>
      </c>
      <c r="B268" s="2" t="s">
        <v>971</v>
      </c>
      <c r="C268" s="2" t="s">
        <v>338</v>
      </c>
      <c r="D268" s="2" t="s">
        <v>972</v>
      </c>
      <c r="E268" s="3" t="n">
        <v>12</v>
      </c>
      <c r="F268" s="3" t="n">
        <v>4.6</v>
      </c>
      <c r="G268" s="2" t="s">
        <v>17</v>
      </c>
      <c r="H268" s="2" t="s">
        <v>973</v>
      </c>
      <c r="I268" s="2" t="s">
        <v>19</v>
      </c>
      <c r="J268" s="2" t="s">
        <v>974</v>
      </c>
      <c r="K268" s="3" t="n">
        <f aca="true">IFERROR(DATEDIF(DATEVALUE(A268),TODAY(),"d"),"")</f>
        <v>0</v>
      </c>
      <c r="L268" s="2" t="str">
        <f aca="false">IF(OR(E268="",H268="",H268="anotado sin numero"),"Sin info, no aplica",IF(I268="no","Cerrado, no volver a tocar",IF(I268="vendido","Cliente, no prospectar",IF(I268="respondio","Atender la conversacion hoy",IF(I268="enviado",IF(K268&gt;=1,"Mandar seguimiento (24-48h)","Esperar respuesta"),"Enviar primer mensaje")))))</f>
        <v>Enviar primer mensaje</v>
      </c>
      <c r="M268" s="4" t="str">
        <f aca="true">IF(OR(L268="Sin info, no aplica",L268="Cerrado, no volver a tocar",L268="Cliente, no prospectar"),"",IF(I268="enviado",DATEVALUE(A268)+2,IF(I268="respondio",TODAY(),"")))</f>
        <v/>
      </c>
    </row>
    <row r="269" customFormat="false" ht="15" hidden="false" customHeight="false" outlineLevel="0" collapsed="false">
      <c r="A269" s="2" t="s">
        <v>970</v>
      </c>
      <c r="B269" s="2" t="s">
        <v>975</v>
      </c>
      <c r="C269" s="2" t="s">
        <v>976</v>
      </c>
      <c r="D269" s="2" t="s">
        <v>632</v>
      </c>
      <c r="E269" s="3" t="n">
        <v>7</v>
      </c>
      <c r="F269" s="3" t="n">
        <v>5</v>
      </c>
      <c r="G269" s="2" t="s">
        <v>17</v>
      </c>
      <c r="H269" s="2" t="s">
        <v>977</v>
      </c>
      <c r="I269" s="2" t="s">
        <v>19</v>
      </c>
      <c r="J269" s="2" t="s">
        <v>978</v>
      </c>
      <c r="K269" s="3" t="n">
        <f aca="true">IFERROR(DATEDIF(DATEVALUE(A269),TODAY(),"d"),"")</f>
        <v>0</v>
      </c>
      <c r="L269" s="2" t="str">
        <f aca="false">IF(OR(E269="",H269="",H269="anotado sin numero"),"Sin info, no aplica",IF(I269="no","Cerrado, no volver a tocar",IF(I269="vendido","Cliente, no prospectar",IF(I269="respondio","Atender la conversacion hoy",IF(I269="enviado",IF(K269&gt;=1,"Mandar seguimiento (24-48h)","Esperar respuesta"),"Enviar primer mensaje")))))</f>
        <v>Enviar primer mensaje</v>
      </c>
      <c r="M269" s="4" t="str">
        <f aca="true">IF(OR(L269="Sin info, no aplica",L269="Cerrado, no volver a tocar",L269="Cliente, no prospectar"),"",IF(I269="enviado",DATEVALUE(A269)+2,IF(I269="respondio",TODAY(),"")))</f>
        <v/>
      </c>
    </row>
    <row r="270" customFormat="false" ht="15" hidden="false" customHeight="false" outlineLevel="0" collapsed="false">
      <c r="A270" s="2" t="s">
        <v>970</v>
      </c>
      <c r="B270" s="2" t="s">
        <v>979</v>
      </c>
      <c r="C270" s="2" t="s">
        <v>338</v>
      </c>
      <c r="D270" s="2" t="s">
        <v>980</v>
      </c>
      <c r="E270" s="3" t="n">
        <v>2</v>
      </c>
      <c r="F270" s="3" t="n">
        <v>5</v>
      </c>
      <c r="G270" s="2" t="s">
        <v>17</v>
      </c>
      <c r="H270" s="2" t="s">
        <v>981</v>
      </c>
      <c r="I270" s="2" t="s">
        <v>19</v>
      </c>
      <c r="J270" s="2" t="s">
        <v>982</v>
      </c>
      <c r="K270" s="3" t="n">
        <f aca="true">IFERROR(DATEDIF(DATEVALUE(A270),TODAY(),"d"),"")</f>
        <v>0</v>
      </c>
      <c r="L270" s="2" t="str">
        <f aca="false">IF(OR(E270="",H270="",H270="anotado sin numero"),"Sin info, no aplica",IF(I270="no","Cerrado, no volver a tocar",IF(I270="vendido","Cliente, no prospectar",IF(I270="respondio","Atender la conversacion hoy",IF(I270="enviado",IF(K270&gt;=1,"Mandar seguimiento (24-48h)","Esperar respuesta"),"Enviar primer mensaje")))))</f>
        <v>Enviar primer mensaje</v>
      </c>
      <c r="M270" s="4" t="str">
        <f aca="true">IF(OR(L270="Sin info, no aplica",L270="Cerrado, no volver a tocar",L270="Cliente, no prospectar"),"",IF(I270="enviado",DATEVALUE(A270)+2,IF(I270="respondio",TODAY(),"")))</f>
        <v/>
      </c>
    </row>
    <row r="271" customFormat="false" ht="15" hidden="false" customHeight="false" outlineLevel="0" collapsed="false">
      <c r="A271" s="2" t="s">
        <v>970</v>
      </c>
      <c r="B271" s="2" t="s">
        <v>983</v>
      </c>
      <c r="C271" s="2" t="s">
        <v>300</v>
      </c>
      <c r="D271" s="2" t="s">
        <v>984</v>
      </c>
      <c r="E271" s="3" t="n">
        <v>11</v>
      </c>
      <c r="F271" s="3" t="n">
        <v>5</v>
      </c>
      <c r="G271" s="2" t="s">
        <v>17</v>
      </c>
      <c r="H271" s="2" t="s">
        <v>985</v>
      </c>
      <c r="I271" s="2" t="s">
        <v>19</v>
      </c>
      <c r="J271" s="2" t="s">
        <v>986</v>
      </c>
      <c r="K271" s="3" t="n">
        <f aca="true">IFERROR(DATEDIF(DATEVALUE(A271),TODAY(),"d"),"")</f>
        <v>0</v>
      </c>
      <c r="L271" s="2" t="str">
        <f aca="false">IF(OR(E271="",H271="",H271="anotado sin numero"),"Sin info, no aplica",IF(I271="no","Cerrado, no volver a tocar",IF(I271="vendido","Cliente, no prospectar",IF(I271="respondio","Atender la conversacion hoy",IF(I271="enviado",IF(K271&gt;=1,"Mandar seguimiento (24-48h)","Esperar respuesta"),"Enviar primer mensaje")))))</f>
        <v>Enviar primer mensaje</v>
      </c>
      <c r="M271" s="4" t="str">
        <f aca="true">IF(OR(L271="Sin info, no aplica",L271="Cerrado, no volver a tocar",L271="Cliente, no prospectar"),"",IF(I271="enviado",DATEVALUE(A271)+2,IF(I271="respondio",TODAY(),"")))</f>
        <v/>
      </c>
    </row>
    <row r="272" customFormat="false" ht="15" hidden="false" customHeight="false" outlineLevel="0" collapsed="false">
      <c r="A272" s="2" t="s">
        <v>970</v>
      </c>
      <c r="B272" s="2" t="s">
        <v>987</v>
      </c>
      <c r="C272" s="2" t="s">
        <v>300</v>
      </c>
      <c r="D272" s="2" t="s">
        <v>988</v>
      </c>
      <c r="E272" s="3" t="n">
        <v>6</v>
      </c>
      <c r="F272" s="3" t="n">
        <v>5</v>
      </c>
      <c r="G272" s="2" t="s">
        <v>17</v>
      </c>
      <c r="H272" s="2" t="s">
        <v>989</v>
      </c>
      <c r="I272" s="2" t="s">
        <v>19</v>
      </c>
      <c r="J272" s="2" t="s">
        <v>990</v>
      </c>
      <c r="K272" s="3" t="n">
        <f aca="true">IFERROR(DATEDIF(DATEVALUE(A272),TODAY(),"d"),"")</f>
        <v>0</v>
      </c>
      <c r="L272" s="2" t="str">
        <f aca="false">IF(OR(E272="",H272="",H272="anotado sin numero"),"Sin info, no aplica",IF(I272="no","Cerrado, no volver a tocar",IF(I272="vendido","Cliente, no prospectar",IF(I272="respondio","Atender la conversacion hoy",IF(I272="enviado",IF(K272&gt;=1,"Mandar seguimiento (24-48h)","Esperar respuesta"),"Enviar primer mensaje")))))</f>
        <v>Enviar primer mensaje</v>
      </c>
      <c r="M272" s="4" t="str">
        <f aca="true">IF(OR(L272="Sin info, no aplica",L272="Cerrado, no volver a tocar",L272="Cliente, no prospectar"),"",IF(I272="enviado",DATEVALUE(A272)+2,IF(I272="respondio",TODAY(),"")))</f>
        <v/>
      </c>
    </row>
    <row r="273" customFormat="false" ht="15" hidden="false" customHeight="false" outlineLevel="0" collapsed="false">
      <c r="A273" s="2" t="s">
        <v>970</v>
      </c>
      <c r="B273" s="2" t="s">
        <v>991</v>
      </c>
      <c r="C273" s="2" t="s">
        <v>262</v>
      </c>
      <c r="D273" s="2" t="s">
        <v>992</v>
      </c>
      <c r="E273" s="3" t="n">
        <v>6</v>
      </c>
      <c r="F273" s="3" t="n">
        <v>5</v>
      </c>
      <c r="G273" s="2" t="s">
        <v>17</v>
      </c>
      <c r="H273" s="2" t="s">
        <v>993</v>
      </c>
      <c r="I273" s="2" t="s">
        <v>19</v>
      </c>
      <c r="J273" s="2" t="s">
        <v>994</v>
      </c>
      <c r="K273" s="3" t="n">
        <f aca="true">IFERROR(DATEDIF(DATEVALUE(A273),TODAY(),"d"),"")</f>
        <v>0</v>
      </c>
      <c r="L273" s="2" t="str">
        <f aca="false">IF(OR(E273="",H273="",H273="anotado sin numero"),"Sin info, no aplica",IF(I273="no","Cerrado, no volver a tocar",IF(I273="vendido","Cliente, no prospectar",IF(I273="respondio","Atender la conversacion hoy",IF(I273="enviado",IF(K273&gt;=1,"Mandar seguimiento (24-48h)","Esperar respuesta"),"Enviar primer mensaje")))))</f>
        <v>Enviar primer mensaje</v>
      </c>
      <c r="M273" s="4" t="str">
        <f aca="true">IF(OR(L273="Sin info, no aplica",L273="Cerrado, no volver a tocar",L273="Cliente, no prospectar"),"",IF(I273="enviado",DATEVALUE(A273)+2,IF(I273="respondio",TODAY(),"")))</f>
        <v/>
      </c>
    </row>
    <row r="274" customFormat="false" ht="15" hidden="false" customHeight="false" outlineLevel="0" collapsed="false">
      <c r="A274" s="2" t="s">
        <v>970</v>
      </c>
      <c r="B274" s="2" t="s">
        <v>995</v>
      </c>
      <c r="C274" s="2" t="s">
        <v>262</v>
      </c>
      <c r="D274" s="2" t="s">
        <v>996</v>
      </c>
      <c r="E274" s="3" t="n">
        <v>1</v>
      </c>
      <c r="F274" s="3" t="n">
        <v>5</v>
      </c>
      <c r="G274" s="2" t="s">
        <v>17</v>
      </c>
      <c r="H274" s="2" t="s">
        <v>997</v>
      </c>
      <c r="I274" s="2" t="s">
        <v>19</v>
      </c>
      <c r="J274" s="2" t="s">
        <v>998</v>
      </c>
      <c r="K274" s="3" t="n">
        <f aca="true">IFERROR(DATEDIF(DATEVALUE(A274),TODAY(),"d"),"")</f>
        <v>0</v>
      </c>
      <c r="L274" s="2" t="str">
        <f aca="false">IF(OR(E274="",H274="",H274="anotado sin numero"),"Sin info, no aplica",IF(I274="no","Cerrado, no volver a tocar",IF(I274="vendido","Cliente, no prospectar",IF(I274="respondio","Atender la conversacion hoy",IF(I274="enviado",IF(K274&gt;=1,"Mandar seguimiento (24-48h)","Esperar respuesta"),"Enviar primer mensaje")))))</f>
        <v>Enviar primer mensaje</v>
      </c>
      <c r="M274" s="4" t="str">
        <f aca="true">IF(OR(L274="Sin info, no aplica",L274="Cerrado, no volver a tocar",L274="Cliente, no prospectar"),"",IF(I274="enviado",DATEVALUE(A274)+2,IF(I274="respondio",TODAY(),"")))</f>
        <v/>
      </c>
    </row>
    <row r="275" customFormat="false" ht="15" hidden="false" customHeight="false" outlineLevel="0" collapsed="false">
      <c r="A275" s="2" t="s">
        <v>970</v>
      </c>
      <c r="B275" s="2" t="s">
        <v>999</v>
      </c>
      <c r="C275" s="2" t="s">
        <v>1000</v>
      </c>
      <c r="D275" s="2" t="s">
        <v>1001</v>
      </c>
      <c r="E275" s="3" t="n">
        <v>5</v>
      </c>
      <c r="F275" s="3" t="n">
        <v>5</v>
      </c>
      <c r="G275" s="2" t="s">
        <v>17</v>
      </c>
      <c r="H275" s="2" t="s">
        <v>1002</v>
      </c>
      <c r="I275" s="2" t="s">
        <v>19</v>
      </c>
      <c r="J275" s="2" t="s">
        <v>1003</v>
      </c>
      <c r="K275" s="3" t="n">
        <f aca="true">IFERROR(DATEDIF(DATEVALUE(A275),TODAY(),"d"),"")</f>
        <v>0</v>
      </c>
      <c r="L275" s="2" t="str">
        <f aca="false">IF(OR(E275="",H275="",H275="anotado sin numero"),"Sin info, no aplica",IF(I275="no","Cerrado, no volver a tocar",IF(I275="vendido","Cliente, no prospectar",IF(I275="respondio","Atender la conversacion hoy",IF(I275="enviado",IF(K275&gt;=1,"Mandar seguimiento (24-48h)","Esperar respuesta"),"Enviar primer mensaje")))))</f>
        <v>Enviar primer mensaje</v>
      </c>
      <c r="M275" s="4" t="str">
        <f aca="true">IF(OR(L275="Sin info, no aplica",L275="Cerrado, no volver a tocar",L275="Cliente, no prospectar"),"",IF(I275="enviado",DATEVALUE(A275)+2,IF(I275="respondio",TODAY(),"")))</f>
        <v/>
      </c>
    </row>
    <row r="276" customFormat="false" ht="15" hidden="false" customHeight="false" outlineLevel="0" collapsed="false">
      <c r="A276" s="2" t="s">
        <v>970</v>
      </c>
      <c r="B276" s="2" t="s">
        <v>1004</v>
      </c>
      <c r="C276" s="2" t="s">
        <v>1005</v>
      </c>
      <c r="D276" s="2" t="s">
        <v>1006</v>
      </c>
      <c r="E276" s="3" t="n">
        <v>2</v>
      </c>
      <c r="F276" s="3" t="n">
        <v>5</v>
      </c>
      <c r="G276" s="2" t="s">
        <v>17</v>
      </c>
      <c r="H276" s="2" t="s">
        <v>1007</v>
      </c>
      <c r="I276" s="2" t="s">
        <v>59</v>
      </c>
      <c r="J276" s="2" t="s">
        <v>1008</v>
      </c>
      <c r="K276" s="3" t="n">
        <f aca="true">IFERROR(DATEDIF(DATEVALUE(A276),TODAY(),"d"),"")</f>
        <v>0</v>
      </c>
      <c r="L276" s="2" t="str">
        <f aca="false">IF(OR(E276="",H276="",H276="anotado sin numero"),"Sin info, no aplica",IF(I276="no","Cerrado, no volver a tocar",IF(I276="vendido","Cliente, no prospectar",IF(I276="respondio","Atender la conversacion hoy",IF(I276="enviado",IF(K276&gt;=1,"Mandar seguimiento (24-48h)","Esperar respuesta"),"Enviar primer mensaje")))))</f>
        <v>Atender la conversacion hoy</v>
      </c>
      <c r="M276" s="4" t="n">
        <f aca="true">IF(OR(L276="Sin info, no aplica",L276="Cerrado, no volver a tocar",L276="Cliente, no prospectar"),"",IF(I276="enviado",DATEVALUE(A276)+2,IF(I276="respondio",TODAY(),"")))</f>
        <v>46301</v>
      </c>
    </row>
    <row r="277" customFormat="false" ht="15" hidden="false" customHeight="false" outlineLevel="0" collapsed="false">
      <c r="A277" s="2" t="s">
        <v>970</v>
      </c>
      <c r="B277" s="2" t="s">
        <v>1009</v>
      </c>
      <c r="C277" s="2" t="s">
        <v>1010</v>
      </c>
      <c r="D277" s="2" t="s">
        <v>1011</v>
      </c>
      <c r="E277" s="3" t="n">
        <v>7</v>
      </c>
      <c r="F277" s="3" t="n">
        <v>5</v>
      </c>
      <c r="G277" s="2" t="s">
        <v>17</v>
      </c>
      <c r="H277" s="2" t="s">
        <v>1012</v>
      </c>
      <c r="I277" s="2" t="s">
        <v>19</v>
      </c>
      <c r="J277" s="2" t="s">
        <v>1013</v>
      </c>
      <c r="K277" s="3" t="n">
        <f aca="true">IFERROR(DATEDIF(DATEVALUE(A277),TODAY(),"d"),"")</f>
        <v>0</v>
      </c>
      <c r="L277" s="2" t="str">
        <f aca="false">IF(OR(E277="",H277="",H277="anotado sin numero"),"Sin info, no aplica",IF(I277="no","Cerrado, no volver a tocar",IF(I277="vendido","Cliente, no prospectar",IF(I277="respondio","Atender la conversacion hoy",IF(I277="enviado",IF(K277&gt;=1,"Mandar seguimiento (24-48h)","Esperar respuesta"),"Enviar primer mensaje")))))</f>
        <v>Enviar primer mensaje</v>
      </c>
      <c r="M277" s="4" t="str">
        <f aca="true">IF(OR(L277="Sin info, no aplica",L277="Cerrado, no volver a tocar",L277="Cliente, no prospectar"),"",IF(I277="enviado",DATEVALUE(A277)+2,IF(I277="respondio",TODAY(),"")))</f>
        <v/>
      </c>
    </row>
    <row r="278" customFormat="false" ht="15" hidden="false" customHeight="false" outlineLevel="0" collapsed="false">
      <c r="A278" s="2" t="s">
        <v>970</v>
      </c>
      <c r="B278" s="2" t="s">
        <v>1014</v>
      </c>
      <c r="C278" s="2" t="s">
        <v>338</v>
      </c>
      <c r="D278" s="2" t="s">
        <v>1015</v>
      </c>
      <c r="E278" s="3" t="n">
        <v>3</v>
      </c>
      <c r="F278" s="3" t="n">
        <v>5</v>
      </c>
      <c r="G278" s="2" t="s">
        <v>49</v>
      </c>
      <c r="H278" s="2" t="s">
        <v>1016</v>
      </c>
      <c r="I278" s="2" t="s">
        <v>19</v>
      </c>
      <c r="J278" s="2" t="s">
        <v>1017</v>
      </c>
      <c r="K278" s="3" t="n">
        <f aca="true">IFERROR(DATEDIF(DATEVALUE(A278),TODAY(),"d"),"")</f>
        <v>0</v>
      </c>
      <c r="L278" s="2" t="str">
        <f aca="false">IF(OR(E278="",H278="",H278="anotado sin numero"),"Sin info, no aplica",IF(I278="no","Cerrado, no volver a tocar",IF(I278="vendido","Cliente, no prospectar",IF(I278="respondio","Atender la conversacion hoy",IF(I278="enviado",IF(K278&gt;=1,"Mandar seguimiento (24-48h)","Esperar respuesta"),"Enviar primer mensaje")))))</f>
        <v>Enviar primer mensaje</v>
      </c>
      <c r="M278" s="4" t="str">
        <f aca="true">IF(OR(L278="Sin info, no aplica",L278="Cerrado, no volver a tocar",L278="Cliente, no prospectar"),"",IF(I278="enviado",DATEVALUE(A278)+2,IF(I278="respondio",TODAY(),"")))</f>
        <v/>
      </c>
    </row>
    <row r="279" customFormat="false" ht="15" hidden="false" customHeight="false" outlineLevel="0" collapsed="false">
      <c r="A279" s="2" t="s">
        <v>970</v>
      </c>
      <c r="B279" s="2" t="s">
        <v>1018</v>
      </c>
      <c r="C279" s="2" t="s">
        <v>338</v>
      </c>
      <c r="D279" s="2" t="s">
        <v>1019</v>
      </c>
      <c r="E279" s="3" t="n">
        <v>3</v>
      </c>
      <c r="F279" s="3" t="n">
        <v>5</v>
      </c>
      <c r="G279" s="2" t="s">
        <v>49</v>
      </c>
      <c r="H279" s="2" t="s">
        <v>1020</v>
      </c>
      <c r="I279" s="2" t="s">
        <v>19</v>
      </c>
      <c r="J279" s="2" t="s">
        <v>1021</v>
      </c>
      <c r="K279" s="3" t="n">
        <f aca="true">IFERROR(DATEDIF(DATEVALUE(A279),TODAY(),"d"),"")</f>
        <v>0</v>
      </c>
      <c r="L279" s="2" t="str">
        <f aca="false">IF(OR(E279="",H279="",H279="anotado sin numero"),"Sin info, no aplica",IF(I279="no","Cerrado, no volver a tocar",IF(I279="vendido","Cliente, no prospectar",IF(I279="respondio","Atender la conversacion hoy",IF(I279="enviado",IF(K279&gt;=1,"Mandar seguimiento (24-48h)","Esperar respuesta"),"Enviar primer mensaje")))))</f>
        <v>Enviar primer mensaje</v>
      </c>
      <c r="M279" s="4" t="str">
        <f aca="true">IF(OR(L279="Sin info, no aplica",L279="Cerrado, no volver a tocar",L279="Cliente, no prospectar"),"",IF(I279="enviado",DATEVALUE(A279)+2,IF(I279="respondio",TODAY(),"")))</f>
        <v/>
      </c>
    </row>
    <row r="280" customFormat="false" ht="15" hidden="false" customHeight="false" outlineLevel="0" collapsed="false">
      <c r="A280" s="2" t="s">
        <v>970</v>
      </c>
      <c r="B280" s="2" t="s">
        <v>1022</v>
      </c>
      <c r="C280" s="2" t="s">
        <v>300</v>
      </c>
      <c r="D280" s="2" t="s">
        <v>1023</v>
      </c>
      <c r="E280" s="3" t="n">
        <v>2</v>
      </c>
      <c r="F280" s="3" t="n">
        <v>5</v>
      </c>
      <c r="G280" s="2" t="s">
        <v>49</v>
      </c>
      <c r="H280" s="2" t="s">
        <v>1024</v>
      </c>
      <c r="I280" s="2" t="s">
        <v>19</v>
      </c>
      <c r="J280" s="2" t="s">
        <v>1017</v>
      </c>
      <c r="K280" s="3" t="n">
        <f aca="true">IFERROR(DATEDIF(DATEVALUE(A280),TODAY(),"d"),"")</f>
        <v>0</v>
      </c>
      <c r="L280" s="2" t="str">
        <f aca="false">IF(OR(E280="",H280="",H280="anotado sin numero"),"Sin info, no aplica",IF(I280="no","Cerrado, no volver a tocar",IF(I280="vendido","Cliente, no prospectar",IF(I280="respondio","Atender la conversacion hoy",IF(I280="enviado",IF(K280&gt;=1,"Mandar seguimiento (24-48h)","Esperar respuesta"),"Enviar primer mensaje")))))</f>
        <v>Enviar primer mensaje</v>
      </c>
      <c r="M280" s="4" t="str">
        <f aca="true">IF(OR(L280="Sin info, no aplica",L280="Cerrado, no volver a tocar",L280="Cliente, no prospectar"),"",IF(I280="enviado",DATEVALUE(A280)+2,IF(I280="respondio",TODAY(),"")))</f>
        <v/>
      </c>
    </row>
  </sheetData>
  <autoFilter ref="A1:M2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5" t="s">
        <v>1025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7" t="s">
        <v>1026</v>
      </c>
      <c r="B3" s="6" t="s">
        <v>1027</v>
      </c>
    </row>
    <row r="4" customFormat="false" ht="15" hidden="false" customHeight="false" outlineLevel="0" collapsed="false">
      <c r="A4" s="7" t="s">
        <v>1028</v>
      </c>
      <c r="B4" s="6" t="s">
        <v>1029</v>
      </c>
    </row>
    <row r="5" customFormat="false" ht="15" hidden="false" customHeight="false" outlineLevel="0" collapsed="false">
      <c r="A5" s="6"/>
      <c r="B5" s="6"/>
    </row>
    <row r="6" customFormat="false" ht="15" hidden="false" customHeight="false" outlineLevel="0" collapsed="false">
      <c r="A6" s="7" t="s">
        <v>1030</v>
      </c>
      <c r="B6" s="6"/>
    </row>
    <row r="7" customFormat="false" ht="15" hidden="false" customHeight="false" outlineLevel="0" collapsed="false">
      <c r="A7" s="7" t="s">
        <v>19</v>
      </c>
      <c r="B7" s="6" t="s">
        <v>1031</v>
      </c>
    </row>
    <row r="8" customFormat="false" ht="15" hidden="false" customHeight="false" outlineLevel="0" collapsed="false">
      <c r="A8" s="7" t="s">
        <v>1032</v>
      </c>
      <c r="B8" s="6" t="s">
        <v>1033</v>
      </c>
    </row>
    <row r="9" customFormat="false" ht="23.85" hidden="false" customHeight="false" outlineLevel="0" collapsed="false">
      <c r="A9" s="7" t="s">
        <v>59</v>
      </c>
      <c r="B9" s="6" t="s">
        <v>1034</v>
      </c>
    </row>
    <row r="10" customFormat="false" ht="15" hidden="false" customHeight="false" outlineLevel="0" collapsed="false">
      <c r="A10" s="7" t="s">
        <v>607</v>
      </c>
      <c r="B10" s="6" t="s">
        <v>1035</v>
      </c>
    </row>
    <row r="11" customFormat="false" ht="15" hidden="false" customHeight="false" outlineLevel="0" collapsed="false">
      <c r="A11" s="7" t="s">
        <v>159</v>
      </c>
      <c r="B11" s="6" t="s">
        <v>1036</v>
      </c>
    </row>
    <row r="12" customFormat="false" ht="15" hidden="false" customHeight="false" outlineLevel="0" collapsed="false">
      <c r="A12" s="6"/>
      <c r="B12" s="6"/>
    </row>
    <row r="13" customFormat="false" ht="23.85" hidden="false" customHeight="false" outlineLevel="0" collapsed="false">
      <c r="A13" s="7" t="s">
        <v>1037</v>
      </c>
      <c r="B13" s="6" t="s">
        <v>1038</v>
      </c>
    </row>
    <row r="14" customFormat="false" ht="15" hidden="false" customHeight="false" outlineLevel="0" collapsed="false">
      <c r="A14" s="6"/>
      <c r="B14" s="6"/>
    </row>
    <row r="15" customFormat="false" ht="15" hidden="false" customHeight="false" outlineLevel="0" collapsed="false">
      <c r="A15" s="7" t="s">
        <v>1039</v>
      </c>
      <c r="B15" s="6" t="s">
        <v>1040</v>
      </c>
    </row>
    <row r="16" customFormat="false" ht="15" hidden="false" customHeight="false" outlineLevel="0" collapsed="false">
      <c r="A16" s="7" t="s">
        <v>1041</v>
      </c>
      <c r="B16" s="6" t="s">
        <v>1042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8" t="s">
        <v>8</v>
      </c>
      <c r="B1" s="8" t="s">
        <v>1043</v>
      </c>
    </row>
    <row r="2" customFormat="false" ht="15" hidden="false" customHeight="false" outlineLevel="0" collapsed="false">
      <c r="A2" s="9" t="s">
        <v>19</v>
      </c>
      <c r="B2" s="9" t="n">
        <f aca="false">COUNTIF(Clientes!$I$2:$I$280,A2)</f>
        <v>266</v>
      </c>
    </row>
    <row r="3" customFormat="false" ht="15" hidden="false" customHeight="false" outlineLevel="0" collapsed="false">
      <c r="A3" s="9" t="s">
        <v>1032</v>
      </c>
      <c r="B3" s="9" t="n">
        <f aca="false">COUNTIF(Clientes!$I$2:$I$280,A3)</f>
        <v>0</v>
      </c>
    </row>
    <row r="4" customFormat="false" ht="15" hidden="false" customHeight="false" outlineLevel="0" collapsed="false">
      <c r="A4" s="9" t="s">
        <v>59</v>
      </c>
      <c r="B4" s="9" t="n">
        <f aca="false">COUNTIF(Clientes!$I$2:$I$280,A4)</f>
        <v>10</v>
      </c>
    </row>
    <row r="5" customFormat="false" ht="15" hidden="false" customHeight="false" outlineLevel="0" collapsed="false">
      <c r="A5" s="9" t="s">
        <v>607</v>
      </c>
      <c r="B5" s="9" t="n">
        <f aca="false">COUNTIF(Clientes!$I$2:$I$280,A5)</f>
        <v>1</v>
      </c>
    </row>
    <row r="6" customFormat="false" ht="15" hidden="false" customHeight="false" outlineLevel="0" collapsed="false">
      <c r="A6" s="9" t="s">
        <v>159</v>
      </c>
      <c r="B6" s="9" t="n">
        <f aca="false">COUNTIF(Clientes!$I$2:$I$280,A6)</f>
        <v>2</v>
      </c>
    </row>
    <row r="7" customFormat="false" ht="15" hidden="false" customHeight="false" outlineLevel="0" collapsed="false">
      <c r="A7" s="9" t="s">
        <v>1044</v>
      </c>
      <c r="B7" s="9" t="n">
        <f aca="false">COUNTIF(Clientes!$L$2:$L$280,"Sin info, no aplica")</f>
        <v>13</v>
      </c>
    </row>
    <row r="8" customFormat="false" ht="15" hidden="false" customHeight="false" outlineLevel="0" collapsed="false">
      <c r="A8" s="10" t="s">
        <v>1045</v>
      </c>
      <c r="B8" s="10" t="n">
        <f aca="false">COUNTA(Clientes!$B$2:$B$280)</f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2026-10-06T15:26:02Z</dcterms:created>
  <dc:creator>openpyxl</dc:creator>
  <dc:description/>
  <dc:language>en-US</dc:language>
  <cp:lastModifiedBy/>
  <dcterms:modified xsi:type="dcterms:W3CDTF">2026-10-06T15:26:03Z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